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795" yWindow="240" windowWidth="17820" windowHeight="11025" tabRatio="293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timings." localSheetId="0">Sheet1!$A$1:$E$70</definedName>
  </definedNames>
  <calcPr calcId="125725"/>
</workbook>
</file>

<file path=xl/calcChain.xml><?xml version="1.0" encoding="utf-8"?>
<calcChain xmlns="http://schemas.openxmlformats.org/spreadsheetml/2006/main">
  <c r="I64" i="1"/>
  <c r="I63"/>
  <c r="I70"/>
  <c r="I69"/>
  <c r="I68"/>
  <c r="I67"/>
  <c r="I65"/>
  <c r="F70"/>
  <c r="G70"/>
  <c r="H70"/>
  <c r="F69"/>
  <c r="G69"/>
  <c r="H69"/>
  <c r="J69" l="1"/>
  <c r="J70"/>
  <c r="H68" l="1"/>
  <c r="J68" s="1"/>
  <c r="AC15" s="1"/>
  <c r="G68"/>
  <c r="P15" s="1"/>
  <c r="F68"/>
  <c r="I66"/>
  <c r="F67"/>
  <c r="G67"/>
  <c r="O15" s="1"/>
  <c r="H67"/>
  <c r="J67" s="1"/>
  <c r="F63"/>
  <c r="G63"/>
  <c r="Q14" s="1"/>
  <c r="H63"/>
  <c r="J63" s="1"/>
  <c r="AD14" s="1"/>
  <c r="F64"/>
  <c r="G64"/>
  <c r="H64"/>
  <c r="I62"/>
  <c r="I61"/>
  <c r="I60"/>
  <c r="I59"/>
  <c r="AE15"/>
  <c r="AD15"/>
  <c r="I58"/>
  <c r="I57"/>
  <c r="I56"/>
  <c r="I55"/>
  <c r="I54"/>
  <c r="I53"/>
  <c r="I52"/>
  <c r="I51"/>
  <c r="I50"/>
  <c r="I49"/>
  <c r="I48"/>
  <c r="I47"/>
  <c r="R15"/>
  <c r="Q15"/>
  <c r="R14"/>
  <c r="I41"/>
  <c r="I42"/>
  <c r="I43"/>
  <c r="I44"/>
  <c r="I45"/>
  <c r="I46"/>
  <c r="F41"/>
  <c r="G41"/>
  <c r="M11" s="1"/>
  <c r="H41"/>
  <c r="J41" s="1"/>
  <c r="Z11" s="1"/>
  <c r="F42"/>
  <c r="G42"/>
  <c r="N11" s="1"/>
  <c r="H42"/>
  <c r="F43"/>
  <c r="G43"/>
  <c r="O11" s="1"/>
  <c r="H43"/>
  <c r="F44"/>
  <c r="G44"/>
  <c r="P11" s="1"/>
  <c r="H44"/>
  <c r="F45"/>
  <c r="G45"/>
  <c r="Q11" s="1"/>
  <c r="H45"/>
  <c r="F46"/>
  <c r="G46"/>
  <c r="R11" s="1"/>
  <c r="H46"/>
  <c r="F47"/>
  <c r="G47"/>
  <c r="M12" s="1"/>
  <c r="H47"/>
  <c r="F48"/>
  <c r="G48"/>
  <c r="N12" s="1"/>
  <c r="H48"/>
  <c r="F49"/>
  <c r="G49"/>
  <c r="O12" s="1"/>
  <c r="H49"/>
  <c r="F50"/>
  <c r="G50"/>
  <c r="P12" s="1"/>
  <c r="H50"/>
  <c r="F51"/>
  <c r="G51"/>
  <c r="Q12" s="1"/>
  <c r="H51"/>
  <c r="F52"/>
  <c r="G52"/>
  <c r="R12" s="1"/>
  <c r="H52"/>
  <c r="J52" s="1"/>
  <c r="AE12" s="1"/>
  <c r="F53"/>
  <c r="G53"/>
  <c r="M13" s="1"/>
  <c r="H53"/>
  <c r="F54"/>
  <c r="G54"/>
  <c r="N13" s="1"/>
  <c r="H54"/>
  <c r="F55"/>
  <c r="G55"/>
  <c r="O13" s="1"/>
  <c r="H55"/>
  <c r="F56"/>
  <c r="G56"/>
  <c r="P13" s="1"/>
  <c r="H56"/>
  <c r="F57"/>
  <c r="G57"/>
  <c r="Q13" s="1"/>
  <c r="H57"/>
  <c r="F58"/>
  <c r="G58"/>
  <c r="R13" s="1"/>
  <c r="H58"/>
  <c r="F59"/>
  <c r="G59"/>
  <c r="M14" s="1"/>
  <c r="H59"/>
  <c r="F60"/>
  <c r="G60"/>
  <c r="N14" s="1"/>
  <c r="H60"/>
  <c r="F61"/>
  <c r="G61"/>
  <c r="O14" s="1"/>
  <c r="H61"/>
  <c r="F62"/>
  <c r="G62"/>
  <c r="P14" s="1"/>
  <c r="H62"/>
  <c r="F65"/>
  <c r="G65"/>
  <c r="M15" s="1"/>
  <c r="H65"/>
  <c r="J65" s="1"/>
  <c r="Z15" s="1"/>
  <c r="F66"/>
  <c r="G66"/>
  <c r="N15" s="1"/>
  <c r="H66"/>
  <c r="F39"/>
  <c r="G39"/>
  <c r="Q10" s="1"/>
  <c r="H39"/>
  <c r="I39"/>
  <c r="F32"/>
  <c r="G32"/>
  <c r="P9" s="1"/>
  <c r="H32"/>
  <c r="I32"/>
  <c r="F25"/>
  <c r="G25"/>
  <c r="O8" s="1"/>
  <c r="H25"/>
  <c r="I25"/>
  <c r="F18"/>
  <c r="G18"/>
  <c r="N7" s="1"/>
  <c r="H18"/>
  <c r="I18"/>
  <c r="F11"/>
  <c r="G11"/>
  <c r="M6" s="1"/>
  <c r="H11"/>
  <c r="I11"/>
  <c r="F29"/>
  <c r="G29"/>
  <c r="M9" s="1"/>
  <c r="H29"/>
  <c r="I29"/>
  <c r="F30"/>
  <c r="G30"/>
  <c r="N9" s="1"/>
  <c r="H30"/>
  <c r="I30"/>
  <c r="F31"/>
  <c r="G31"/>
  <c r="O9" s="1"/>
  <c r="H31"/>
  <c r="I31"/>
  <c r="F33"/>
  <c r="G33"/>
  <c r="Q9" s="1"/>
  <c r="H33"/>
  <c r="I33"/>
  <c r="F34"/>
  <c r="G34"/>
  <c r="R9" s="1"/>
  <c r="H34"/>
  <c r="I34"/>
  <c r="F35"/>
  <c r="G35"/>
  <c r="M10" s="1"/>
  <c r="H35"/>
  <c r="I35"/>
  <c r="F36"/>
  <c r="G36"/>
  <c r="N10" s="1"/>
  <c r="H36"/>
  <c r="I36"/>
  <c r="F37"/>
  <c r="G37"/>
  <c r="O10" s="1"/>
  <c r="H37"/>
  <c r="I37"/>
  <c r="F38"/>
  <c r="G38"/>
  <c r="P10" s="1"/>
  <c r="H38"/>
  <c r="I38"/>
  <c r="F40"/>
  <c r="G40"/>
  <c r="R10" s="1"/>
  <c r="H40"/>
  <c r="I40"/>
  <c r="G7"/>
  <c r="O5" s="1"/>
  <c r="F17"/>
  <c r="G17"/>
  <c r="M7" s="1"/>
  <c r="H17"/>
  <c r="I17"/>
  <c r="F19"/>
  <c r="G19"/>
  <c r="O7" s="1"/>
  <c r="H19"/>
  <c r="I19"/>
  <c r="F20"/>
  <c r="G20"/>
  <c r="P7" s="1"/>
  <c r="H20"/>
  <c r="I20"/>
  <c r="F21"/>
  <c r="G21"/>
  <c r="Q7" s="1"/>
  <c r="H21"/>
  <c r="I21"/>
  <c r="F22"/>
  <c r="G22"/>
  <c r="R7" s="1"/>
  <c r="H22"/>
  <c r="I22"/>
  <c r="F23"/>
  <c r="G23"/>
  <c r="M8" s="1"/>
  <c r="H23"/>
  <c r="I23"/>
  <c r="F24"/>
  <c r="G24"/>
  <c r="N8" s="1"/>
  <c r="H24"/>
  <c r="I24"/>
  <c r="F26"/>
  <c r="G26"/>
  <c r="P8" s="1"/>
  <c r="H26"/>
  <c r="I26"/>
  <c r="F27"/>
  <c r="G27"/>
  <c r="Q8" s="1"/>
  <c r="H27"/>
  <c r="I27"/>
  <c r="F28"/>
  <c r="G28"/>
  <c r="R8" s="1"/>
  <c r="H28"/>
  <c r="I28"/>
  <c r="I6"/>
  <c r="I7"/>
  <c r="I8"/>
  <c r="I9"/>
  <c r="I10"/>
  <c r="I12"/>
  <c r="I13"/>
  <c r="I14"/>
  <c r="I15"/>
  <c r="I16"/>
  <c r="H6"/>
  <c r="H7"/>
  <c r="H8"/>
  <c r="H9"/>
  <c r="H10"/>
  <c r="H12"/>
  <c r="H13"/>
  <c r="H14"/>
  <c r="H15"/>
  <c r="H16"/>
  <c r="G12"/>
  <c r="N6" s="1"/>
  <c r="G13"/>
  <c r="O6" s="1"/>
  <c r="G14"/>
  <c r="P6" s="1"/>
  <c r="G15"/>
  <c r="Q6" s="1"/>
  <c r="G16"/>
  <c r="R6" s="1"/>
  <c r="G6"/>
  <c r="N5" s="1"/>
  <c r="G8"/>
  <c r="P5" s="1"/>
  <c r="G9"/>
  <c r="Q5" s="1"/>
  <c r="G10"/>
  <c r="R5" s="1"/>
  <c r="H5"/>
  <c r="I5"/>
  <c r="G5"/>
  <c r="M5" s="1"/>
  <c r="F12"/>
  <c r="F13"/>
  <c r="F14"/>
  <c r="F15"/>
  <c r="F16"/>
  <c r="F6"/>
  <c r="F7"/>
  <c r="F8"/>
  <c r="F9"/>
  <c r="F10"/>
  <c r="F5"/>
  <c r="J64" l="1"/>
  <c r="AE14" s="1"/>
  <c r="J66"/>
  <c r="AA15" s="1"/>
  <c r="J59"/>
  <c r="Z14" s="1"/>
  <c r="J62"/>
  <c r="AC14" s="1"/>
  <c r="J61"/>
  <c r="AB14" s="1"/>
  <c r="J47"/>
  <c r="Z12" s="1"/>
  <c r="J60"/>
  <c r="AA14" s="1"/>
  <c r="J50"/>
  <c r="AC12" s="1"/>
  <c r="J49"/>
  <c r="AB12" s="1"/>
  <c r="J57"/>
  <c r="AD13" s="1"/>
  <c r="J51"/>
  <c r="AD12" s="1"/>
  <c r="J54"/>
  <c r="AA13" s="1"/>
  <c r="J58"/>
  <c r="AE13" s="1"/>
  <c r="J56"/>
  <c r="AC13" s="1"/>
  <c r="J44"/>
  <c r="AC11" s="1"/>
  <c r="J48"/>
  <c r="AA12" s="1"/>
  <c r="J55"/>
  <c r="AB13" s="1"/>
  <c r="J53"/>
  <c r="Z13" s="1"/>
  <c r="S5"/>
  <c r="J43"/>
  <c r="AB11" s="1"/>
  <c r="J45"/>
  <c r="AD11" s="1"/>
  <c r="J46"/>
  <c r="AE11" s="1"/>
  <c r="J42"/>
  <c r="AA11" s="1"/>
  <c r="J25"/>
  <c r="AB8" s="1"/>
  <c r="J32"/>
  <c r="AC9" s="1"/>
  <c r="J5"/>
  <c r="Z5" s="1"/>
  <c r="J36"/>
  <c r="AA10" s="1"/>
  <c r="J35"/>
  <c r="Z10" s="1"/>
  <c r="J34"/>
  <c r="AE9" s="1"/>
  <c r="J30"/>
  <c r="AA9" s="1"/>
  <c r="J11"/>
  <c r="Z6" s="1"/>
  <c r="J18"/>
  <c r="AA7" s="1"/>
  <c r="J9"/>
  <c r="AD5" s="1"/>
  <c r="J14"/>
  <c r="AC6" s="1"/>
  <c r="J39"/>
  <c r="AD10" s="1"/>
  <c r="J28"/>
  <c r="AE8" s="1"/>
  <c r="J27"/>
  <c r="AD8" s="1"/>
  <c r="J26"/>
  <c r="AC8" s="1"/>
  <c r="J24"/>
  <c r="AA8" s="1"/>
  <c r="J23"/>
  <c r="Z8" s="1"/>
  <c r="J22"/>
  <c r="AE7" s="1"/>
  <c r="J21"/>
  <c r="AD7" s="1"/>
  <c r="J20"/>
  <c r="AC7" s="1"/>
  <c r="J19"/>
  <c r="AB7" s="1"/>
  <c r="J17"/>
  <c r="Z7" s="1"/>
  <c r="J15"/>
  <c r="AD6" s="1"/>
  <c r="J10"/>
  <c r="AE5" s="1"/>
  <c r="J6"/>
  <c r="AA5" s="1"/>
  <c r="J16"/>
  <c r="AE6" s="1"/>
  <c r="J12"/>
  <c r="AA6" s="1"/>
  <c r="J7"/>
  <c r="AB5" s="1"/>
  <c r="J40"/>
  <c r="AE10" s="1"/>
  <c r="J38"/>
  <c r="AC10" s="1"/>
  <c r="J13"/>
  <c r="AB6" s="1"/>
  <c r="J8"/>
  <c r="AC5" s="1"/>
  <c r="J37"/>
  <c r="AB10" s="1"/>
  <c r="J33"/>
  <c r="AD9" s="1"/>
  <c r="J31"/>
  <c r="AB9" s="1"/>
  <c r="J29"/>
  <c r="Z9" s="1"/>
  <c r="S6" l="1"/>
  <c r="Y5"/>
  <c r="T5"/>
  <c r="U5"/>
  <c r="W5"/>
  <c r="X5"/>
  <c r="V5"/>
  <c r="S7" l="1"/>
  <c r="V6"/>
  <c r="U6"/>
  <c r="Y6"/>
  <c r="T6"/>
  <c r="X6"/>
  <c r="W6"/>
  <c r="S8" l="1"/>
  <c r="T7"/>
  <c r="X7"/>
  <c r="W7"/>
  <c r="V7"/>
  <c r="U7"/>
  <c r="Y7"/>
  <c r="S9" l="1"/>
  <c r="V8"/>
  <c r="U8"/>
  <c r="Y8"/>
  <c r="T8"/>
  <c r="X8"/>
  <c r="W8"/>
  <c r="S10" l="1"/>
  <c r="T9"/>
  <c r="X9"/>
  <c r="W9"/>
  <c r="V9"/>
  <c r="U9"/>
  <c r="Y9"/>
  <c r="S11" l="1"/>
  <c r="V10"/>
  <c r="U10"/>
  <c r="Y10"/>
  <c r="T10"/>
  <c r="X10"/>
  <c r="W10"/>
  <c r="S12" l="1"/>
  <c r="T11"/>
  <c r="X11"/>
  <c r="W11"/>
  <c r="V11"/>
  <c r="U11"/>
  <c r="Y11"/>
  <c r="S13" l="1"/>
  <c r="U12"/>
  <c r="T12"/>
  <c r="Y12"/>
  <c r="X12"/>
  <c r="W12"/>
  <c r="V12"/>
  <c r="S14" l="1"/>
  <c r="Y13"/>
  <c r="T13"/>
  <c r="X13"/>
  <c r="W13"/>
  <c r="V13"/>
  <c r="U13"/>
  <c r="Y14" l="1"/>
  <c r="X14"/>
  <c r="S15"/>
  <c r="V14"/>
  <c r="U14"/>
  <c r="T14"/>
  <c r="W14"/>
  <c r="X15" l="1"/>
  <c r="Y15"/>
  <c r="W15"/>
  <c r="V15"/>
  <c r="U15"/>
  <c r="T15"/>
</calcChain>
</file>

<file path=xl/connections.xml><?xml version="1.0" encoding="utf-8"?>
<connections xmlns="http://schemas.openxmlformats.org/spreadsheetml/2006/main">
  <connection id="1" name="timings" type="6" refreshedVersion="3" background="1" saveData="1">
    <textPr codePage="437" sourceFile="H:\timings." delimited="0">
      <textFields count="5">
        <textField/>
        <textField position="6"/>
        <textField position="12"/>
        <textField position="20"/>
        <textField position="30"/>
      </textFields>
    </textPr>
  </connection>
</connections>
</file>

<file path=xl/sharedStrings.xml><?xml version="1.0" encoding="utf-8"?>
<sst xmlns="http://schemas.openxmlformats.org/spreadsheetml/2006/main" count="27" uniqueCount="27">
  <si>
    <t>stream --fast --no-checks</t>
  </si>
  <si>
    <t>varying number of locales (nl) and tasks per locale (tpl)</t>
  </si>
  <si>
    <t>SD</t>
  </si>
  <si>
    <t>CV</t>
  </si>
  <si>
    <t>AVG</t>
  </si>
  <si>
    <t>MAX</t>
  </si>
  <si>
    <t>MIN</t>
  </si>
  <si>
    <t>Trial 3</t>
  </si>
  <si>
    <t>Trial 2</t>
  </si>
  <si>
    <t>Trial 1</t>
  </si>
  <si>
    <t>TPL</t>
  </si>
  <si>
    <t>NL</t>
  </si>
  <si>
    <t>NL \ TPL</t>
  </si>
  <si>
    <t>linear</t>
  </si>
  <si>
    <t>1-eff</t>
  </si>
  <si>
    <t>2-eff</t>
  </si>
  <si>
    <t>3-eff</t>
  </si>
  <si>
    <t>4-eff</t>
  </si>
  <si>
    <t>5-eff</t>
  </si>
  <si>
    <t>6-eff</t>
  </si>
  <si>
    <t>1-err</t>
  </si>
  <si>
    <t>2-err</t>
  </si>
  <si>
    <t>3-err</t>
  </si>
  <si>
    <t>4-err</t>
  </si>
  <si>
    <t>5-err</t>
  </si>
  <si>
    <t>6-err</t>
  </si>
  <si>
    <t>`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</si>
</sst>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21">
    <font>
      <sz val="10"/>
      <name val="Bitstream Vera San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Bitstream Vera Sans"/>
      <family val="2"/>
    </font>
    <font>
      <b/>
      <sz val="10"/>
      <name val="Bitstream Vera Sans"/>
    </font>
    <font>
      <sz val="10"/>
      <name val="Bitstream Vera Sans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8" fillId="23" borderId="7" applyNumberForma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21">
    <xf numFmtId="0" fontId="0" fillId="0" borderId="0" xfId="0"/>
    <xf numFmtId="2" fontId="0" fillId="0" borderId="0" xfId="0" applyNumberFormat="1"/>
    <xf numFmtId="2" fontId="19" fillId="0" borderId="0" xfId="0" applyNumberFormat="1" applyFont="1"/>
    <xf numFmtId="9" fontId="0" fillId="0" borderId="0" xfId="43" applyFont="1"/>
    <xf numFmtId="2" fontId="20" fillId="0" borderId="0" xfId="0" applyNumberFormat="1" applyFont="1"/>
    <xf numFmtId="0" fontId="19" fillId="0" borderId="0" xfId="0" applyFont="1" applyAlignment="1">
      <alignment horizontal="center"/>
    </xf>
    <xf numFmtId="0" fontId="0" fillId="24" borderId="0" xfId="0" applyFill="1"/>
    <xf numFmtId="2" fontId="0" fillId="24" borderId="0" xfId="0" applyNumberFormat="1" applyFill="1"/>
    <xf numFmtId="9" fontId="0" fillId="24" borderId="0" xfId="43" applyFont="1" applyFill="1"/>
    <xf numFmtId="2" fontId="20" fillId="24" borderId="0" xfId="0" applyNumberFormat="1" applyFont="1" applyFill="1"/>
    <xf numFmtId="2" fontId="0" fillId="0" borderId="0" xfId="0" applyNumberFormat="1" applyFill="1"/>
    <xf numFmtId="9" fontId="0" fillId="0" borderId="0" xfId="43" applyFont="1" applyFill="1"/>
    <xf numFmtId="10" fontId="0" fillId="0" borderId="0" xfId="43" applyNumberFormat="1" applyFont="1"/>
    <xf numFmtId="10" fontId="19" fillId="0" borderId="0" xfId="43" applyNumberFormat="1" applyFont="1"/>
    <xf numFmtId="10" fontId="20" fillId="0" borderId="0" xfId="43" applyNumberFormat="1" applyFont="1"/>
    <xf numFmtId="0" fontId="0" fillId="0" borderId="0" xfId="0" applyFill="1"/>
    <xf numFmtId="10" fontId="20" fillId="0" borderId="0" xfId="0" applyNumberFormat="1" applyFont="1"/>
    <xf numFmtId="0" fontId="20" fillId="0" borderId="0" xfId="0" applyFont="1"/>
    <xf numFmtId="10" fontId="19" fillId="0" borderId="0" xfId="0" applyNumberFormat="1" applyFont="1"/>
    <xf numFmtId="0" fontId="19" fillId="0" borderId="0" xfId="42" applyNumberFormat="1" applyFont="1" applyAlignment="1">
      <alignment horizontal="center"/>
    </xf>
    <xf numFmtId="0" fontId="19" fillId="0" borderId="0" xfId="0" applyFont="1" applyAlignment="1">
      <alignment horizont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2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43" builtinId="5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HPCC STREAM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CHPL (1 TPL)</c:v>
          </c:tx>
          <c:cat>
            <c:numRef>
              <c:f>Sheet1!$L$5:$L$15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cat>
          <c:val>
            <c:numRef>
              <c:f>Sheet1!$T$5:$T$15</c:f>
              <c:numCache>
                <c:formatCode>0.00%</c:formatCode>
                <c:ptCount val="11"/>
                <c:pt idx="0">
                  <c:v>0.63878175595629849</c:v>
                </c:pt>
                <c:pt idx="1">
                  <c:v>0.63474891404501765</c:v>
                </c:pt>
                <c:pt idx="2">
                  <c:v>0.63619274055548247</c:v>
                </c:pt>
                <c:pt idx="3">
                  <c:v>0.63598501053047252</c:v>
                </c:pt>
                <c:pt idx="4">
                  <c:v>0.6346347653679083</c:v>
                </c:pt>
                <c:pt idx="5">
                  <c:v>0.63337090298802157</c:v>
                </c:pt>
                <c:pt idx="6">
                  <c:v>0.63162782183756738</c:v>
                </c:pt>
                <c:pt idx="7">
                  <c:v>0.62103950366921146</c:v>
                </c:pt>
                <c:pt idx="8">
                  <c:v>0.6276641118615901</c:v>
                </c:pt>
                <c:pt idx="9">
                  <c:v>0.62799126094181912</c:v>
                </c:pt>
                <c:pt idx="10">
                  <c:v>0.61875042420116488</c:v>
                </c:pt>
              </c:numCache>
            </c:numRef>
          </c:val>
        </c:ser>
        <c:ser>
          <c:idx val="1"/>
          <c:order val="1"/>
          <c:tx>
            <c:v>CHPL (2 TPL)</c:v>
          </c:tx>
          <c:cat>
            <c:numRef>
              <c:f>Sheet1!$L$5:$L$15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cat>
          <c:val>
            <c:numRef>
              <c:f>Sheet1!$U$5:$U$15</c:f>
              <c:numCache>
                <c:formatCode>0.00%</c:formatCode>
                <c:ptCount val="11"/>
                <c:pt idx="0">
                  <c:v>0.94476931683559295</c:v>
                </c:pt>
                <c:pt idx="1">
                  <c:v>0.94182736606555217</c:v>
                </c:pt>
                <c:pt idx="2">
                  <c:v>0.94381417006713175</c:v>
                </c:pt>
                <c:pt idx="3">
                  <c:v>0.94378331907331847</c:v>
                </c:pt>
                <c:pt idx="4">
                  <c:v>0.9419847061340002</c:v>
                </c:pt>
                <c:pt idx="5">
                  <c:v>0.93745372350927991</c:v>
                </c:pt>
                <c:pt idx="6">
                  <c:v>0.93042226783598792</c:v>
                </c:pt>
                <c:pt idx="7">
                  <c:v>0.92722019176977755</c:v>
                </c:pt>
                <c:pt idx="8">
                  <c:v>0.92908410597933389</c:v>
                </c:pt>
                <c:pt idx="9">
                  <c:v>0.91621024335263912</c:v>
                </c:pt>
                <c:pt idx="10">
                  <c:v>0.89317322781607866</c:v>
                </c:pt>
              </c:numCache>
            </c:numRef>
          </c:val>
        </c:ser>
        <c:ser>
          <c:idx val="2"/>
          <c:order val="2"/>
          <c:tx>
            <c:v>CHPL (3 TPL)</c:v>
          </c:tx>
          <c:cat>
            <c:numRef>
              <c:f>Sheet1!$L$5:$L$15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cat>
          <c:val>
            <c:numRef>
              <c:f>Sheet1!$V$5:$V$15</c:f>
              <c:numCache>
                <c:formatCode>0.00%</c:formatCode>
                <c:ptCount val="11"/>
                <c:pt idx="0">
                  <c:v>1</c:v>
                </c:pt>
                <c:pt idx="1">
                  <c:v>0.99911149137817545</c:v>
                </c:pt>
                <c:pt idx="2">
                  <c:v>0.99811191917862319</c:v>
                </c:pt>
                <c:pt idx="3">
                  <c:v>0.99611688824536004</c:v>
                </c:pt>
                <c:pt idx="4">
                  <c:v>0.98607283302619442</c:v>
                </c:pt>
                <c:pt idx="5">
                  <c:v>0.99280554824272738</c:v>
                </c:pt>
                <c:pt idx="6">
                  <c:v>0.97826187557588518</c:v>
                </c:pt>
                <c:pt idx="7">
                  <c:v>0.99090435574897973</c:v>
                </c:pt>
                <c:pt idx="8">
                  <c:v>0.97307248132486501</c:v>
                </c:pt>
                <c:pt idx="9">
                  <c:v>0.96006685924542567</c:v>
                </c:pt>
                <c:pt idx="10">
                  <c:v>0.9388343054824273</c:v>
                </c:pt>
              </c:numCache>
            </c:numRef>
          </c:val>
        </c:ser>
        <c:ser>
          <c:idx val="3"/>
          <c:order val="3"/>
          <c:tx>
            <c:v>CHPL (4 TPL)</c:v>
          </c:tx>
          <c:cat>
            <c:numRef>
              <c:f>Sheet1!$L$5:$L$15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cat>
          <c:val>
            <c:numRef>
              <c:f>Sheet1!$W$5:$W$15</c:f>
              <c:numCache>
                <c:formatCode>0.00%</c:formatCode>
                <c:ptCount val="11"/>
                <c:pt idx="0">
                  <c:v>1.0155176385415294</c:v>
                </c:pt>
                <c:pt idx="1">
                  <c:v>1.0143971304462287</c:v>
                </c:pt>
                <c:pt idx="2">
                  <c:v>0.97227524022640499</c:v>
                </c:pt>
                <c:pt idx="3">
                  <c:v>1.0037905587731999</c:v>
                </c:pt>
                <c:pt idx="4">
                  <c:v>0.96558571640121094</c:v>
                </c:pt>
                <c:pt idx="5">
                  <c:v>0.9529409224035803</c:v>
                </c:pt>
                <c:pt idx="6">
                  <c:v>0.95583834490588382</c:v>
                </c:pt>
                <c:pt idx="7">
                  <c:v>0.96268598007437134</c:v>
                </c:pt>
                <c:pt idx="8">
                  <c:v>0.95171459539949976</c:v>
                </c:pt>
                <c:pt idx="9">
                  <c:v>0.93403954686060287</c:v>
                </c:pt>
                <c:pt idx="10">
                  <c:v>0.84341475253389486</c:v>
                </c:pt>
              </c:numCache>
            </c:numRef>
          </c:val>
        </c:ser>
        <c:ser>
          <c:idx val="4"/>
          <c:order val="4"/>
          <c:tx>
            <c:v>CHPL (5 TPL)</c:v>
          </c:tx>
          <c:cat>
            <c:numRef>
              <c:f>Sheet1!$L$5:$L$15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cat>
          <c:val>
            <c:numRef>
              <c:f>Sheet1!$X$5:$X$15</c:f>
              <c:numCache>
                <c:formatCode>0.00%</c:formatCode>
                <c:ptCount val="11"/>
                <c:pt idx="0">
                  <c:v>0.93503850204027894</c:v>
                </c:pt>
                <c:pt idx="1">
                  <c:v>0.90483085428458598</c:v>
                </c:pt>
                <c:pt idx="2">
                  <c:v>0.87490127681979735</c:v>
                </c:pt>
                <c:pt idx="3">
                  <c:v>0.89794285573252597</c:v>
                </c:pt>
                <c:pt idx="4">
                  <c:v>0.86617353067000125</c:v>
                </c:pt>
                <c:pt idx="5">
                  <c:v>0.86852231966565752</c:v>
                </c:pt>
                <c:pt idx="6">
                  <c:v>0.8693347291694089</c:v>
                </c:pt>
                <c:pt idx="7">
                  <c:v>0.87364358463867309</c:v>
                </c:pt>
                <c:pt idx="8">
                  <c:v>0.86022211687179151</c:v>
                </c:pt>
                <c:pt idx="9">
                  <c:v>0.85489067950342235</c:v>
                </c:pt>
                <c:pt idx="10">
                  <c:v>0</c:v>
                </c:pt>
              </c:numCache>
            </c:numRef>
          </c:val>
        </c:ser>
        <c:ser>
          <c:idx val="5"/>
          <c:order val="5"/>
          <c:tx>
            <c:v>CHPL (6 TPL)</c:v>
          </c:tx>
          <c:cat>
            <c:numRef>
              <c:f>Sheet1!$L$5:$L$15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cat>
          <c:val>
            <c:numRef>
              <c:f>Sheet1!$Y$5:$Y$15</c:f>
              <c:numCache>
                <c:formatCode>0.00%</c:formatCode>
                <c:ptCount val="11"/>
                <c:pt idx="0">
                  <c:v>0.98874884822956421</c:v>
                </c:pt>
                <c:pt idx="1">
                  <c:v>0.98278925891799385</c:v>
                </c:pt>
                <c:pt idx="2">
                  <c:v>0.95886122811636176</c:v>
                </c:pt>
                <c:pt idx="3">
                  <c:v>0.97720317230485709</c:v>
                </c:pt>
                <c:pt idx="4">
                  <c:v>0.95492669803869934</c:v>
                </c:pt>
                <c:pt idx="5">
                  <c:v>0.95736804001579567</c:v>
                </c:pt>
                <c:pt idx="6">
                  <c:v>0.95297177339739358</c:v>
                </c:pt>
                <c:pt idx="7">
                  <c:v>0.95063352515795707</c:v>
                </c:pt>
                <c:pt idx="8">
                  <c:v>0.90647932572067913</c:v>
                </c:pt>
                <c:pt idx="9">
                  <c:v>0.92616611614782152</c:v>
                </c:pt>
                <c:pt idx="10">
                  <c:v>0</c:v>
                </c:pt>
              </c:numCache>
            </c:numRef>
          </c:val>
        </c:ser>
        <c:marker val="1"/>
        <c:axId val="72726400"/>
        <c:axId val="72728960"/>
      </c:lineChart>
      <c:catAx>
        <c:axId val="727264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Locales</a:t>
                </a:r>
              </a:p>
            </c:rich>
          </c:tx>
          <c:layout/>
        </c:title>
        <c:numFmt formatCode="General" sourceLinked="0"/>
        <c:tickLblPos val="nextTo"/>
        <c:crossAx val="72728960"/>
        <c:crosses val="autoZero"/>
        <c:auto val="1"/>
        <c:lblAlgn val="ctr"/>
        <c:lblOffset val="100"/>
      </c:catAx>
      <c:valAx>
        <c:axId val="72728960"/>
        <c:scaling>
          <c:orientation val="minMax"/>
          <c:max val="1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Efficiency</a:t>
                </a:r>
              </a:p>
              <a:p>
                <a:pPr>
                  <a:defRPr/>
                </a:pPr>
                <a:r>
                  <a:rPr lang="en-US"/>
                  <a:t>(Of linear scaling of best 1-locale performance)</a:t>
                </a:r>
              </a:p>
            </c:rich>
          </c:tx>
          <c:layout/>
        </c:title>
        <c:numFmt formatCode="0.00%" sourceLinked="1"/>
        <c:tickLblPos val="nextTo"/>
        <c:crossAx val="72726400"/>
        <c:crosses val="autoZero"/>
        <c:crossBetween val="midCat"/>
        <c:majorUnit val="0.1"/>
        <c:minorUnit val="0.1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323026</xdr:colOff>
      <xdr:row>15</xdr:row>
      <xdr:rowOff>115956</xdr:rowOff>
    </xdr:from>
    <xdr:to>
      <xdr:col>28</xdr:col>
      <xdr:colOff>66261</xdr:colOff>
      <xdr:row>50</xdr:row>
      <xdr:rowOff>74545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timings.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70"/>
  <sheetViews>
    <sheetView tabSelected="1" topLeftCell="K17" zoomScale="115" zoomScaleNormal="115" workbookViewId="0">
      <selection activeCell="K21" sqref="K21"/>
    </sheetView>
  </sheetViews>
  <sheetFormatPr defaultColWidth="10.28515625" defaultRowHeight="12.75"/>
  <cols>
    <col min="1" max="31" width="7.7109375" customWidth="1"/>
  </cols>
  <sheetData>
    <row r="1" spans="1:3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3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</row>
    <row r="4" spans="1:31" s="5" customFormat="1">
      <c r="A4" s="5" t="s">
        <v>11</v>
      </c>
      <c r="B4" s="5" t="s">
        <v>10</v>
      </c>
      <c r="C4" s="5" t="s">
        <v>9</v>
      </c>
      <c r="D4" s="5" t="s">
        <v>8</v>
      </c>
      <c r="E4" s="5" t="s">
        <v>7</v>
      </c>
      <c r="F4" s="5" t="s">
        <v>6</v>
      </c>
      <c r="G4" s="5" t="s">
        <v>5</v>
      </c>
      <c r="H4" s="5" t="s">
        <v>4</v>
      </c>
      <c r="I4" s="5" t="s">
        <v>2</v>
      </c>
      <c r="J4" s="5" t="s">
        <v>3</v>
      </c>
      <c r="L4" s="5" t="s">
        <v>12</v>
      </c>
      <c r="M4" s="5">
        <v>1</v>
      </c>
      <c r="N4" s="5">
        <v>2</v>
      </c>
      <c r="O4" s="5">
        <v>3</v>
      </c>
      <c r="P4" s="5">
        <v>4</v>
      </c>
      <c r="Q4" s="5">
        <v>5</v>
      </c>
      <c r="R4" s="5">
        <v>6</v>
      </c>
      <c r="S4" s="5" t="s">
        <v>13</v>
      </c>
      <c r="T4" s="5" t="s">
        <v>14</v>
      </c>
      <c r="U4" s="5" t="s">
        <v>15</v>
      </c>
      <c r="V4" s="5" t="s">
        <v>16</v>
      </c>
      <c r="W4" s="5" t="s">
        <v>17</v>
      </c>
      <c r="X4" s="5" t="s">
        <v>18</v>
      </c>
      <c r="Y4" s="5" t="s">
        <v>19</v>
      </c>
      <c r="Z4" s="5" t="s">
        <v>20</v>
      </c>
      <c r="AA4" s="5" t="s">
        <v>21</v>
      </c>
      <c r="AB4" s="5" t="s">
        <v>22</v>
      </c>
      <c r="AC4" s="5" t="s">
        <v>23</v>
      </c>
      <c r="AD4" s="5" t="s">
        <v>24</v>
      </c>
      <c r="AE4" s="5" t="s">
        <v>25</v>
      </c>
    </row>
    <row r="5" spans="1:31">
      <c r="A5">
        <v>1</v>
      </c>
      <c r="B5">
        <v>1</v>
      </c>
      <c r="C5">
        <v>3.8372999999999999</v>
      </c>
      <c r="D5">
        <v>3.88226</v>
      </c>
      <c r="E5">
        <v>3.8235000000000001</v>
      </c>
      <c r="F5" s="1">
        <f>MIN(C5:E5)</f>
        <v>3.8235000000000001</v>
      </c>
      <c r="G5" s="1">
        <f>MAX(C5:E5)</f>
        <v>3.88226</v>
      </c>
      <c r="H5" s="1">
        <f>AVERAGE(C5:E5)</f>
        <v>3.8476866666666667</v>
      </c>
      <c r="I5" s="1">
        <f>STDEV(C5:E5)</f>
        <v>3.0726153897507782E-2</v>
      </c>
      <c r="J5" s="3">
        <f>I5/H5</f>
        <v>7.9856174785995528E-3</v>
      </c>
      <c r="L5">
        <v>1</v>
      </c>
      <c r="M5" s="4">
        <f>G5</f>
        <v>3.88226</v>
      </c>
      <c r="N5" s="4">
        <f>G6</f>
        <v>5.74193</v>
      </c>
      <c r="O5" s="2">
        <f>G7</f>
        <v>6.0776000000000003</v>
      </c>
      <c r="P5" s="4">
        <f>G8</f>
        <v>6.1719099999999996</v>
      </c>
      <c r="Q5" s="4">
        <f>G9</f>
        <v>5.6827899999999998</v>
      </c>
      <c r="R5" s="4">
        <f>G10</f>
        <v>6.00922</v>
      </c>
      <c r="S5" s="4">
        <f>O5</f>
        <v>6.0776000000000003</v>
      </c>
      <c r="T5" s="14">
        <f t="shared" ref="T5:T15" si="0">M5/S5</f>
        <v>0.63878175595629849</v>
      </c>
      <c r="U5" s="14">
        <f t="shared" ref="U5:U15" si="1">N5/S5</f>
        <v>0.94476931683559295</v>
      </c>
      <c r="V5" s="13">
        <f t="shared" ref="V5:V15" si="2">O5/S5</f>
        <v>1</v>
      </c>
      <c r="W5" s="16">
        <f t="shared" ref="W5:W15" si="3">P5/S5</f>
        <v>1.0155176385415294</v>
      </c>
      <c r="X5" s="16">
        <f t="shared" ref="X5:X15" si="4">Q5/S5</f>
        <v>0.93503850204027894</v>
      </c>
      <c r="Y5" s="16">
        <f t="shared" ref="Y5:Y15" si="5">R5/S5</f>
        <v>0.98874884822956421</v>
      </c>
      <c r="Z5" s="12">
        <f>J5</f>
        <v>7.9856174785995528E-3</v>
      </c>
      <c r="AA5" s="12">
        <f>J6</f>
        <v>7.5496634317148217E-3</v>
      </c>
      <c r="AB5" s="14">
        <f>J7</f>
        <v>7.4189739483843577E-3</v>
      </c>
      <c r="AC5" s="12">
        <f>J8</f>
        <v>2.6351121548036337E-2</v>
      </c>
      <c r="AD5" s="12">
        <f>J9</f>
        <v>3.2197120217105003E-2</v>
      </c>
      <c r="AE5" s="12">
        <f>J10</f>
        <v>6.0181360363115105E-3</v>
      </c>
    </row>
    <row r="6" spans="1:31">
      <c r="A6">
        <v>1</v>
      </c>
      <c r="B6">
        <v>2</v>
      </c>
      <c r="C6">
        <v>5.74193</v>
      </c>
      <c r="D6">
        <v>5.7341600000000001</v>
      </c>
      <c r="E6">
        <v>5.66364</v>
      </c>
      <c r="F6" s="1">
        <f t="shared" ref="F6:F9" si="6">MIN(C6:E6)</f>
        <v>5.66364</v>
      </c>
      <c r="G6" s="1">
        <f t="shared" ref="G6:G16" si="7">MAX(C6:E6)</f>
        <v>5.74193</v>
      </c>
      <c r="H6" s="1">
        <f t="shared" ref="H6:H16" si="8">AVERAGE(C6:E6)</f>
        <v>5.7132433333333337</v>
      </c>
      <c r="I6" s="1">
        <f t="shared" ref="I6:I16" si="9">STDEV(C6:E6)</f>
        <v>4.3133064270155161E-2</v>
      </c>
      <c r="J6" s="3">
        <f t="shared" ref="J6:J28" si="10">I6/H6</f>
        <v>7.5496634317148217E-3</v>
      </c>
      <c r="L6">
        <v>2</v>
      </c>
      <c r="M6" s="4">
        <f>G11</f>
        <v>7.7154999999999996</v>
      </c>
      <c r="N6" s="4">
        <f>G12</f>
        <v>11.4481</v>
      </c>
      <c r="O6" s="2">
        <f>G13</f>
        <v>12.144399999999999</v>
      </c>
      <c r="P6" s="4">
        <f>G14</f>
        <v>12.3302</v>
      </c>
      <c r="Q6" s="4">
        <f>G15</f>
        <v>10.9984</v>
      </c>
      <c r="R6" s="4">
        <f>G16</f>
        <v>11.946</v>
      </c>
      <c r="S6" s="17">
        <f t="shared" ref="S6:S15" si="11">S5*2</f>
        <v>12.155200000000001</v>
      </c>
      <c r="T6" s="14">
        <f t="shared" si="0"/>
        <v>0.63474891404501765</v>
      </c>
      <c r="U6" s="14">
        <f t="shared" si="1"/>
        <v>0.94182736606555217</v>
      </c>
      <c r="V6" s="13">
        <f t="shared" si="2"/>
        <v>0.99911149137817545</v>
      </c>
      <c r="W6" s="16">
        <f t="shared" si="3"/>
        <v>1.0143971304462287</v>
      </c>
      <c r="X6" s="16">
        <f t="shared" si="4"/>
        <v>0.90483085428458598</v>
      </c>
      <c r="Y6" s="16">
        <f t="shared" si="5"/>
        <v>0.98278925891799385</v>
      </c>
      <c r="Z6" s="12">
        <f>J11</f>
        <v>6.1576894378141869E-3</v>
      </c>
      <c r="AA6" s="12">
        <f>J12</f>
        <v>6.8284989687309181E-3</v>
      </c>
      <c r="AB6" s="12">
        <f>J13</f>
        <v>7.2166714555134074E-3</v>
      </c>
      <c r="AC6" s="12">
        <f>J14</f>
        <v>2.5265960273767474E-2</v>
      </c>
      <c r="AD6" s="12">
        <f>J15</f>
        <v>1.777074139702059E-2</v>
      </c>
      <c r="AE6" s="14">
        <f>J16</f>
        <v>1.2932680666371899E-2</v>
      </c>
    </row>
    <row r="7" spans="1:31">
      <c r="A7">
        <v>1</v>
      </c>
      <c r="B7">
        <v>3</v>
      </c>
      <c r="C7">
        <v>6.04772</v>
      </c>
      <c r="D7">
        <v>6.0776000000000003</v>
      </c>
      <c r="E7">
        <v>5.9895100000000001</v>
      </c>
      <c r="F7" s="1">
        <f t="shared" si="6"/>
        <v>5.9895100000000001</v>
      </c>
      <c r="G7" s="4">
        <f>MAX(C7:E7)</f>
        <v>6.0776000000000003</v>
      </c>
      <c r="H7" s="1">
        <f t="shared" si="8"/>
        <v>6.0382766666666674</v>
      </c>
      <c r="I7" s="1">
        <f t="shared" si="9"/>
        <v>4.4797817283137142E-2</v>
      </c>
      <c r="J7" s="3">
        <f t="shared" si="10"/>
        <v>7.4189739483843577E-3</v>
      </c>
      <c r="L7">
        <v>4</v>
      </c>
      <c r="M7" s="4">
        <f>G17</f>
        <v>15.466100000000001</v>
      </c>
      <c r="N7" s="4">
        <f>G18</f>
        <v>22.944500000000001</v>
      </c>
      <c r="O7" s="2">
        <f>G19</f>
        <v>24.264500000000002</v>
      </c>
      <c r="P7" s="4">
        <f>G20</f>
        <v>23.636399999999998</v>
      </c>
      <c r="Q7" s="4">
        <f>G21</f>
        <v>21.269200000000001</v>
      </c>
      <c r="R7" s="4">
        <f>G22</f>
        <v>23.310300000000002</v>
      </c>
      <c r="S7" s="17">
        <f t="shared" si="11"/>
        <v>24.310400000000001</v>
      </c>
      <c r="T7" s="14">
        <f t="shared" si="0"/>
        <v>0.63619274055548247</v>
      </c>
      <c r="U7" s="14">
        <f t="shared" si="1"/>
        <v>0.94381417006713175</v>
      </c>
      <c r="V7" s="13">
        <f t="shared" si="2"/>
        <v>0.99811191917862319</v>
      </c>
      <c r="W7" s="16">
        <f t="shared" si="3"/>
        <v>0.97227524022640499</v>
      </c>
      <c r="X7" s="16">
        <f t="shared" si="4"/>
        <v>0.87490127681979735</v>
      </c>
      <c r="Y7" s="16">
        <f t="shared" si="5"/>
        <v>0.95886122811636176</v>
      </c>
      <c r="Z7" s="12">
        <f>J17</f>
        <v>3.2035404957211837E-3</v>
      </c>
      <c r="AA7" s="12">
        <f>J18</f>
        <v>2.7372671017994732E-3</v>
      </c>
      <c r="AB7" s="14">
        <f>J19</f>
        <v>7.6002120082046716E-3</v>
      </c>
      <c r="AC7" s="12">
        <f>J20</f>
        <v>4.0002044825189808E-3</v>
      </c>
      <c r="AD7" s="12">
        <f>J21</f>
        <v>3.9740083885334227E-3</v>
      </c>
      <c r="AE7" s="12">
        <f>J22</f>
        <v>1.5153144952173528E-3</v>
      </c>
    </row>
    <row r="8" spans="1:31">
      <c r="A8">
        <v>1</v>
      </c>
      <c r="B8">
        <v>4</v>
      </c>
      <c r="C8">
        <v>5.88741</v>
      </c>
      <c r="D8">
        <v>5.9111599999999997</v>
      </c>
      <c r="E8">
        <v>6.1719099999999996</v>
      </c>
      <c r="F8" s="1">
        <f t="shared" si="6"/>
        <v>5.88741</v>
      </c>
      <c r="G8" s="1">
        <f t="shared" si="7"/>
        <v>6.1719099999999996</v>
      </c>
      <c r="H8" s="1">
        <f t="shared" si="8"/>
        <v>5.9901599999999995</v>
      </c>
      <c r="I8" s="1">
        <f t="shared" si="9"/>
        <v>0.15784743425218534</v>
      </c>
      <c r="J8" s="3">
        <f t="shared" si="10"/>
        <v>2.6351121548036337E-2</v>
      </c>
      <c r="L8">
        <v>8</v>
      </c>
      <c r="M8" s="4">
        <f>G23</f>
        <v>30.9221</v>
      </c>
      <c r="N8" s="4">
        <f>G24</f>
        <v>45.887500000000003</v>
      </c>
      <c r="O8" s="4">
        <f>G25</f>
        <v>48.432000000000002</v>
      </c>
      <c r="P8" s="2">
        <f>G26</f>
        <v>48.805100000000003</v>
      </c>
      <c r="Q8" s="4">
        <f>G27</f>
        <v>43.658700000000003</v>
      </c>
      <c r="R8" s="4">
        <f>G28</f>
        <v>47.5124</v>
      </c>
      <c r="S8" s="17">
        <f t="shared" si="11"/>
        <v>48.620800000000003</v>
      </c>
      <c r="T8" s="14">
        <f t="shared" si="0"/>
        <v>0.63598501053047252</v>
      </c>
      <c r="U8" s="14">
        <f t="shared" si="1"/>
        <v>0.94378331907331847</v>
      </c>
      <c r="V8" s="14">
        <f t="shared" si="2"/>
        <v>0.99611688824536004</v>
      </c>
      <c r="W8" s="18">
        <f t="shared" si="3"/>
        <v>1.0037905587731999</v>
      </c>
      <c r="X8" s="16">
        <f t="shared" si="4"/>
        <v>0.89794285573252597</v>
      </c>
      <c r="Y8" s="16">
        <f t="shared" si="5"/>
        <v>0.97720317230485709</v>
      </c>
      <c r="Z8" s="12">
        <f>J23</f>
        <v>5.0331098912613295E-3</v>
      </c>
      <c r="AA8" s="12">
        <f>J24</f>
        <v>8.0728385581300584E-3</v>
      </c>
      <c r="AB8" s="14">
        <f>J25</f>
        <v>5.0068182423894658E-3</v>
      </c>
      <c r="AC8" s="12">
        <f>J26</f>
        <v>4.9183872073256245E-2</v>
      </c>
      <c r="AD8" s="12">
        <f>J27</f>
        <v>1.7661189032943572E-2</v>
      </c>
      <c r="AE8" s="12">
        <f>J28</f>
        <v>1.4572824846710752E-2</v>
      </c>
    </row>
    <row r="9" spans="1:31">
      <c r="A9">
        <v>1</v>
      </c>
      <c r="B9">
        <v>5</v>
      </c>
      <c r="C9">
        <v>5.3291700000000004</v>
      </c>
      <c r="D9">
        <v>5.6827899999999998</v>
      </c>
      <c r="E9">
        <v>5.4886999999999997</v>
      </c>
      <c r="F9" s="1">
        <f t="shared" si="6"/>
        <v>5.3291700000000004</v>
      </c>
      <c r="G9" s="1">
        <f t="shared" si="7"/>
        <v>5.6827899999999998</v>
      </c>
      <c r="H9" s="1">
        <f t="shared" si="8"/>
        <v>5.5002199999999997</v>
      </c>
      <c r="I9" s="1">
        <f t="shared" si="9"/>
        <v>0.17709124456052527</v>
      </c>
      <c r="J9" s="3">
        <f t="shared" si="10"/>
        <v>3.2197120217105003E-2</v>
      </c>
      <c r="L9">
        <v>16</v>
      </c>
      <c r="M9" s="4">
        <f>G29</f>
        <v>61.712899999999998</v>
      </c>
      <c r="N9" s="4">
        <f>G30</f>
        <v>91.600099999999998</v>
      </c>
      <c r="O9" s="2">
        <f>G31</f>
        <v>95.887299999999996</v>
      </c>
      <c r="P9" s="4">
        <f>G32</f>
        <v>93.895099999999999</v>
      </c>
      <c r="Q9" s="4">
        <f>G33</f>
        <v>84.228099999999998</v>
      </c>
      <c r="R9" s="4">
        <f>G34</f>
        <v>92.858599999999996</v>
      </c>
      <c r="S9" s="17">
        <f t="shared" si="11"/>
        <v>97.241600000000005</v>
      </c>
      <c r="T9" s="14">
        <f t="shared" si="0"/>
        <v>0.6346347653679083</v>
      </c>
      <c r="U9" s="14">
        <f t="shared" si="1"/>
        <v>0.9419847061340002</v>
      </c>
      <c r="V9" s="13">
        <f t="shared" si="2"/>
        <v>0.98607283302619442</v>
      </c>
      <c r="W9" s="16">
        <f t="shared" si="3"/>
        <v>0.96558571640121094</v>
      </c>
      <c r="X9" s="16">
        <f t="shared" si="4"/>
        <v>0.86617353067000125</v>
      </c>
      <c r="Y9" s="16">
        <f t="shared" si="5"/>
        <v>0.95492669803869934</v>
      </c>
      <c r="Z9" s="12">
        <f>J29</f>
        <v>1.303958558517992E-2</v>
      </c>
      <c r="AA9" s="12">
        <f>J30</f>
        <v>7.8307642980161973E-3</v>
      </c>
      <c r="AB9" s="14">
        <f>J31</f>
        <v>3.9901046924068163E-3</v>
      </c>
      <c r="AC9" s="12">
        <f>J32</f>
        <v>6.1880679129035464E-2</v>
      </c>
      <c r="AD9" s="12" t="e">
        <f>J33</f>
        <v>#DIV/0!</v>
      </c>
      <c r="AE9" s="12" t="e">
        <f>J34</f>
        <v>#DIV/0!</v>
      </c>
    </row>
    <row r="10" spans="1:31">
      <c r="A10">
        <v>1</v>
      </c>
      <c r="B10">
        <v>6</v>
      </c>
      <c r="C10">
        <v>5.9389500000000002</v>
      </c>
      <c r="D10">
        <v>6.00922</v>
      </c>
      <c r="E10">
        <v>5.9875100000000003</v>
      </c>
      <c r="F10" s="1">
        <f>MIN(C10:E10)</f>
        <v>5.9389500000000002</v>
      </c>
      <c r="G10" s="1">
        <f t="shared" si="7"/>
        <v>6.00922</v>
      </c>
      <c r="H10" s="1">
        <f t="shared" si="8"/>
        <v>5.9785600000000008</v>
      </c>
      <c r="I10" s="1">
        <f t="shared" si="9"/>
        <v>3.5979787381250551E-2</v>
      </c>
      <c r="J10" s="3">
        <f t="shared" si="10"/>
        <v>6.0181360363115105E-3</v>
      </c>
      <c r="L10">
        <v>32</v>
      </c>
      <c r="M10" s="4">
        <f>G35</f>
        <v>123.18</v>
      </c>
      <c r="N10" s="4">
        <f>G36</f>
        <v>182.31899999999999</v>
      </c>
      <c r="O10" s="2">
        <f>G37</f>
        <v>193.084</v>
      </c>
      <c r="P10" s="4">
        <f>G38</f>
        <v>185.33099999999999</v>
      </c>
      <c r="Q10" s="4">
        <f>G39</f>
        <v>168.91300000000001</v>
      </c>
      <c r="R10" s="4">
        <f>G40</f>
        <v>186.19200000000001</v>
      </c>
      <c r="S10" s="17">
        <f t="shared" si="11"/>
        <v>194.48320000000001</v>
      </c>
      <c r="T10" s="14">
        <f t="shared" si="0"/>
        <v>0.63337090298802157</v>
      </c>
      <c r="U10" s="14">
        <f t="shared" si="1"/>
        <v>0.93745372350927991</v>
      </c>
      <c r="V10" s="13">
        <f t="shared" si="2"/>
        <v>0.99280554824272738</v>
      </c>
      <c r="W10" s="16">
        <f t="shared" si="3"/>
        <v>0.9529409224035803</v>
      </c>
      <c r="X10" s="16">
        <f t="shared" si="4"/>
        <v>0.86852231966565752</v>
      </c>
      <c r="Y10" s="16">
        <f t="shared" si="5"/>
        <v>0.95736804001579567</v>
      </c>
      <c r="Z10" s="12">
        <f>J35</f>
        <v>2.841316417676249E-3</v>
      </c>
      <c r="AA10" s="12">
        <f>J36</f>
        <v>4.6420413990984656E-3</v>
      </c>
      <c r="AB10" s="14">
        <f>J37</f>
        <v>8.6968190035619872E-3</v>
      </c>
      <c r="AC10" s="12">
        <f>J38</f>
        <v>4.795347680379633E-2</v>
      </c>
      <c r="AD10" s="12">
        <f>J39</f>
        <v>5.5024708137743341E-3</v>
      </c>
      <c r="AE10" s="12">
        <f>J40</f>
        <v>3.5656589221704621E-3</v>
      </c>
    </row>
    <row r="11" spans="1:31">
      <c r="A11" s="6">
        <v>2</v>
      </c>
      <c r="B11" s="6">
        <v>1</v>
      </c>
      <c r="C11" s="6">
        <v>7.6619999999999999</v>
      </c>
      <c r="D11" s="6">
        <v>7.7154999999999996</v>
      </c>
      <c r="E11" s="6">
        <v>7.6213800000000003</v>
      </c>
      <c r="F11" s="7">
        <f t="shared" ref="F11:F16" si="12">MIN(C11:E11)</f>
        <v>7.6213800000000003</v>
      </c>
      <c r="G11" s="7">
        <f t="shared" si="7"/>
        <v>7.7154999999999996</v>
      </c>
      <c r="H11" s="7">
        <f t="shared" si="8"/>
        <v>7.666293333333333</v>
      </c>
      <c r="I11" s="7">
        <f t="shared" si="9"/>
        <v>4.7206653485851978E-2</v>
      </c>
      <c r="J11" s="8">
        <f t="shared" si="10"/>
        <v>6.1576894378141869E-3</v>
      </c>
      <c r="L11">
        <v>64</v>
      </c>
      <c r="M11" s="4">
        <f>G41</f>
        <v>245.68199999999999</v>
      </c>
      <c r="N11" s="4">
        <f>G42</f>
        <v>361.90300000000002</v>
      </c>
      <c r="O11" s="2">
        <f>G43</f>
        <v>380.51100000000002</v>
      </c>
      <c r="P11" s="4">
        <f>G44</f>
        <v>371.78899999999999</v>
      </c>
      <c r="Q11" s="4">
        <f>G45</f>
        <v>338.142</v>
      </c>
      <c r="R11" s="4">
        <f>G46</f>
        <v>370.67399999999998</v>
      </c>
      <c r="S11" s="17">
        <f t="shared" si="11"/>
        <v>388.96640000000002</v>
      </c>
      <c r="T11" s="14">
        <f t="shared" si="0"/>
        <v>0.63162782183756738</v>
      </c>
      <c r="U11" s="14">
        <f t="shared" si="1"/>
        <v>0.93042226783598792</v>
      </c>
      <c r="V11" s="13">
        <f t="shared" si="2"/>
        <v>0.97826187557588518</v>
      </c>
      <c r="W11" s="16">
        <f t="shared" si="3"/>
        <v>0.95583834490588382</v>
      </c>
      <c r="X11" s="16">
        <f t="shared" si="4"/>
        <v>0.8693347291694089</v>
      </c>
      <c r="Y11" s="16">
        <f t="shared" si="5"/>
        <v>0.95297177339739358</v>
      </c>
      <c r="Z11" s="12">
        <f>J41</f>
        <v>9.0591852204579937E-2</v>
      </c>
      <c r="AA11" s="12">
        <f>J42</f>
        <v>4.1536328440726295E-3</v>
      </c>
      <c r="AB11" s="14">
        <f>J43</f>
        <v>3.165232720654811E-3</v>
      </c>
      <c r="AC11" s="12">
        <f>J44</f>
        <v>0.19831705261198646</v>
      </c>
      <c r="AD11" s="12">
        <f>J45</f>
        <v>3.0517678650171737E-3</v>
      </c>
      <c r="AE11" s="12">
        <f>J46</f>
        <v>5.7571333193009444E-3</v>
      </c>
    </row>
    <row r="12" spans="1:31">
      <c r="A12" s="6">
        <v>2</v>
      </c>
      <c r="B12" s="6">
        <v>2</v>
      </c>
      <c r="C12" s="6">
        <v>11.3239</v>
      </c>
      <c r="D12" s="6">
        <v>11.4481</v>
      </c>
      <c r="E12" s="6">
        <v>11.3055</v>
      </c>
      <c r="F12" s="7">
        <f t="shared" si="12"/>
        <v>11.3055</v>
      </c>
      <c r="G12" s="7">
        <f t="shared" si="7"/>
        <v>11.4481</v>
      </c>
      <c r="H12" s="7">
        <f t="shared" si="8"/>
        <v>11.359166666666667</v>
      </c>
      <c r="I12" s="7">
        <f t="shared" si="9"/>
        <v>7.7566057868975954E-2</v>
      </c>
      <c r="J12" s="8">
        <f t="shared" si="10"/>
        <v>6.8284989687309181E-3</v>
      </c>
      <c r="L12">
        <v>128</v>
      </c>
      <c r="M12" s="4">
        <f>G47</f>
        <v>483.12700000000001</v>
      </c>
      <c r="N12" s="4">
        <f>G48</f>
        <v>721.31500000000005</v>
      </c>
      <c r="O12" s="2">
        <f>G49</f>
        <v>770.85699999999997</v>
      </c>
      <c r="P12" s="4">
        <f>G50</f>
        <v>748.90499999999997</v>
      </c>
      <c r="Q12" s="4">
        <f>G51</f>
        <v>679.63599999999997</v>
      </c>
      <c r="R12" s="4">
        <f>G52</f>
        <v>739.529</v>
      </c>
      <c r="S12" s="17">
        <f t="shared" si="11"/>
        <v>777.93280000000004</v>
      </c>
      <c r="T12" s="14">
        <f t="shared" si="0"/>
        <v>0.62103950366921146</v>
      </c>
      <c r="U12" s="14">
        <f t="shared" si="1"/>
        <v>0.92722019176977755</v>
      </c>
      <c r="V12" s="13">
        <f t="shared" si="2"/>
        <v>0.99090435574897973</v>
      </c>
      <c r="W12" s="16">
        <f t="shared" si="3"/>
        <v>0.96268598007437134</v>
      </c>
      <c r="X12" s="16">
        <f t="shared" si="4"/>
        <v>0.87364358463867309</v>
      </c>
      <c r="Y12" s="16">
        <f t="shared" si="5"/>
        <v>0.95063352515795707</v>
      </c>
      <c r="Z12" s="12">
        <f>J47</f>
        <v>4.5436813251031327E-3</v>
      </c>
      <c r="AA12" s="14">
        <f>J48</f>
        <v>6.2488626629175689E-3</v>
      </c>
      <c r="AB12" s="12">
        <f>J49</f>
        <v>7.6126363703541361E-3</v>
      </c>
      <c r="AC12" s="12">
        <f>J50</f>
        <v>6.259017787750086E-2</v>
      </c>
      <c r="AD12" s="12">
        <f>J51</f>
        <v>4.9146982208340606E-3</v>
      </c>
      <c r="AE12" s="12" t="e">
        <f>J52</f>
        <v>#DIV/0!</v>
      </c>
    </row>
    <row r="13" spans="1:31">
      <c r="A13" s="6">
        <v>2</v>
      </c>
      <c r="B13" s="6">
        <v>3</v>
      </c>
      <c r="C13" s="6">
        <v>12.065899999999999</v>
      </c>
      <c r="D13" s="6">
        <v>12.144399999999999</v>
      </c>
      <c r="E13" s="6">
        <v>11.970599999999999</v>
      </c>
      <c r="F13" s="7">
        <f t="shared" si="12"/>
        <v>11.970599999999999</v>
      </c>
      <c r="G13" s="7">
        <f t="shared" si="7"/>
        <v>12.144399999999999</v>
      </c>
      <c r="H13" s="7">
        <f t="shared" si="8"/>
        <v>12.060299999999998</v>
      </c>
      <c r="I13" s="7">
        <f t="shared" si="9"/>
        <v>8.7035222754928337E-2</v>
      </c>
      <c r="J13" s="8">
        <f t="shared" si="10"/>
        <v>7.2166714555134074E-3</v>
      </c>
      <c r="L13">
        <v>256</v>
      </c>
      <c r="M13" s="4">
        <f>G53</f>
        <v>976.56100000000004</v>
      </c>
      <c r="N13" s="4">
        <f>G54</f>
        <v>1445.53</v>
      </c>
      <c r="O13" s="2">
        <f>G55</f>
        <v>1513.97</v>
      </c>
      <c r="P13" s="4">
        <f>G56</f>
        <v>1480.74</v>
      </c>
      <c r="Q13" s="4">
        <f>G57</f>
        <v>1338.39</v>
      </c>
      <c r="R13" s="4">
        <f>G58</f>
        <v>1410.36</v>
      </c>
      <c r="S13" s="17">
        <f t="shared" si="11"/>
        <v>1555.8656000000001</v>
      </c>
      <c r="T13" s="14">
        <f t="shared" si="0"/>
        <v>0.6276641118615901</v>
      </c>
      <c r="U13" s="14">
        <f t="shared" si="1"/>
        <v>0.92908410597933389</v>
      </c>
      <c r="V13" s="13">
        <f t="shared" si="2"/>
        <v>0.97307248132486501</v>
      </c>
      <c r="W13" s="16">
        <f t="shared" si="3"/>
        <v>0.95171459539949976</v>
      </c>
      <c r="X13" s="16">
        <f t="shared" si="4"/>
        <v>0.86022211687179151</v>
      </c>
      <c r="Y13" s="16">
        <f t="shared" si="5"/>
        <v>0.90647932572067913</v>
      </c>
      <c r="Z13" s="12">
        <f>J53</f>
        <v>1.034102338282127E-3</v>
      </c>
      <c r="AA13" s="14">
        <f>J54</f>
        <v>2.7343543350813789E-3</v>
      </c>
      <c r="AB13" s="12">
        <f>J55</f>
        <v>2.4254125321581374E-2</v>
      </c>
      <c r="AC13" s="12">
        <f>J56</f>
        <v>5.9042666528224493E-2</v>
      </c>
      <c r="AD13" s="12">
        <f>J57</f>
        <v>7.5062169523723826E-4</v>
      </c>
      <c r="AE13" s="12" t="e">
        <f>J58</f>
        <v>#DIV/0!</v>
      </c>
    </row>
    <row r="14" spans="1:31">
      <c r="A14" s="6">
        <v>2</v>
      </c>
      <c r="B14" s="6">
        <v>4</v>
      </c>
      <c r="C14" s="6">
        <v>11.789300000000001</v>
      </c>
      <c r="D14" s="6">
        <v>11.824199999999999</v>
      </c>
      <c r="E14" s="6">
        <v>12.3302</v>
      </c>
      <c r="F14" s="7">
        <f t="shared" si="12"/>
        <v>11.789300000000001</v>
      </c>
      <c r="G14" s="7">
        <f t="shared" si="7"/>
        <v>12.3302</v>
      </c>
      <c r="H14" s="7">
        <f t="shared" si="8"/>
        <v>11.981233333333334</v>
      </c>
      <c r="I14" s="7">
        <f t="shared" si="9"/>
        <v>0.30271736543073868</v>
      </c>
      <c r="J14" s="8">
        <f t="shared" si="10"/>
        <v>2.5265960273767474E-2</v>
      </c>
      <c r="K14" t="s">
        <v>26</v>
      </c>
      <c r="L14">
        <v>512</v>
      </c>
      <c r="M14" s="4">
        <f>G59</f>
        <v>1954.14</v>
      </c>
      <c r="N14" s="4">
        <f>G60</f>
        <v>2851</v>
      </c>
      <c r="O14" s="2">
        <f>G61</f>
        <v>2987.47</v>
      </c>
      <c r="P14" s="4">
        <f>G62</f>
        <v>2906.48</v>
      </c>
      <c r="Q14" s="4">
        <f>G63</f>
        <v>2660.19</v>
      </c>
      <c r="R14" s="4">
        <f>G64</f>
        <v>2881.98</v>
      </c>
      <c r="S14" s="17">
        <f t="shared" si="11"/>
        <v>3111.7312000000002</v>
      </c>
      <c r="T14" s="14">
        <f t="shared" si="0"/>
        <v>0.62799126094181912</v>
      </c>
      <c r="U14" s="14">
        <f t="shared" si="1"/>
        <v>0.91621024335263912</v>
      </c>
      <c r="V14" s="13">
        <f t="shared" si="2"/>
        <v>0.96006685924542567</v>
      </c>
      <c r="W14" s="16">
        <f t="shared" si="3"/>
        <v>0.93403954686060287</v>
      </c>
      <c r="X14" s="16">
        <f t="shared" si="4"/>
        <v>0.85489067950342235</v>
      </c>
      <c r="Y14" s="16">
        <f t="shared" si="5"/>
        <v>0.92616611614782152</v>
      </c>
      <c r="Z14" s="12">
        <f>J59</f>
        <v>2.0454396143798122E-3</v>
      </c>
      <c r="AA14" s="14">
        <f>J60</f>
        <v>1.5323162143839058E-2</v>
      </c>
      <c r="AB14" s="12">
        <f>J61</f>
        <v>9.0061009111218088E-2</v>
      </c>
      <c r="AC14" s="12">
        <f>J62</f>
        <v>4.2983315697918245E-2</v>
      </c>
      <c r="AD14" s="12">
        <f>J63</f>
        <v>1.6659346986230615E-3</v>
      </c>
      <c r="AE14" s="12">
        <f>J64</f>
        <v>2.9503223514687177E-2</v>
      </c>
    </row>
    <row r="15" spans="1:31">
      <c r="A15" s="6">
        <v>2</v>
      </c>
      <c r="B15" s="6">
        <v>5</v>
      </c>
      <c r="C15" s="6">
        <v>10.636100000000001</v>
      </c>
      <c r="D15" s="6">
        <v>10.709199999999999</v>
      </c>
      <c r="E15" s="6">
        <v>10.9984</v>
      </c>
      <c r="F15" s="7">
        <f t="shared" si="12"/>
        <v>10.636100000000001</v>
      </c>
      <c r="G15" s="7">
        <f t="shared" si="7"/>
        <v>10.9984</v>
      </c>
      <c r="H15" s="7">
        <f t="shared" si="8"/>
        <v>10.781233333333333</v>
      </c>
      <c r="I15" s="7">
        <f t="shared" si="9"/>
        <v>0.19159050950760492</v>
      </c>
      <c r="J15" s="8">
        <f t="shared" si="10"/>
        <v>1.777074139702059E-2</v>
      </c>
      <c r="L15">
        <v>1024</v>
      </c>
      <c r="M15" s="4">
        <f>G65</f>
        <v>3850.77</v>
      </c>
      <c r="N15" s="4">
        <f>G66</f>
        <v>5558.63</v>
      </c>
      <c r="O15" s="4">
        <f>G67</f>
        <v>5842.8</v>
      </c>
      <c r="P15" s="4">
        <f>G68</f>
        <v>5248.96</v>
      </c>
      <c r="Q15" s="4">
        <f>G69</f>
        <v>0</v>
      </c>
      <c r="R15" s="4">
        <f>G70</f>
        <v>0</v>
      </c>
      <c r="S15" s="17">
        <f t="shared" si="11"/>
        <v>6223.4624000000003</v>
      </c>
      <c r="T15" s="14">
        <f t="shared" si="0"/>
        <v>0.61875042420116488</v>
      </c>
      <c r="U15" s="14">
        <f t="shared" si="1"/>
        <v>0.89317322781607866</v>
      </c>
      <c r="V15" s="14">
        <f t="shared" si="2"/>
        <v>0.9388343054824273</v>
      </c>
      <c r="W15" s="16">
        <f t="shared" si="3"/>
        <v>0.84341475253389486</v>
      </c>
      <c r="X15" s="16">
        <f t="shared" si="4"/>
        <v>0</v>
      </c>
      <c r="Y15" s="16">
        <f t="shared" si="5"/>
        <v>0</v>
      </c>
      <c r="Z15" s="14">
        <f>J65</f>
        <v>5.2809187762039118E-3</v>
      </c>
      <c r="AA15" s="12">
        <f>J66</f>
        <v>4.7543354108901328E-3</v>
      </c>
      <c r="AB15" s="12">
        <v>0</v>
      </c>
      <c r="AC15" s="12" t="e">
        <f>J68</f>
        <v>#DIV/0!</v>
      </c>
      <c r="AD15" s="12" t="e">
        <f>J69</f>
        <v>#DIV/0!</v>
      </c>
      <c r="AE15" s="12" t="e">
        <f>J70</f>
        <v>#DIV/0!</v>
      </c>
    </row>
    <row r="16" spans="1:31">
      <c r="A16" s="6">
        <v>2</v>
      </c>
      <c r="B16" s="6">
        <v>6</v>
      </c>
      <c r="C16" s="6">
        <v>11.6793</v>
      </c>
      <c r="D16" s="6">
        <v>11.685499999999999</v>
      </c>
      <c r="E16" s="6">
        <v>11.946</v>
      </c>
      <c r="F16" s="7">
        <f t="shared" si="12"/>
        <v>11.6793</v>
      </c>
      <c r="G16" s="9">
        <f t="shared" si="7"/>
        <v>11.946</v>
      </c>
      <c r="H16" s="7">
        <f t="shared" si="8"/>
        <v>11.770266666666666</v>
      </c>
      <c r="I16" s="7">
        <f t="shared" si="9"/>
        <v>0.15222110015804161</v>
      </c>
      <c r="J16" s="8">
        <f t="shared" si="10"/>
        <v>1.2932680666371899E-2</v>
      </c>
    </row>
    <row r="17" spans="1:10">
      <c r="A17">
        <v>4</v>
      </c>
      <c r="B17">
        <v>1</v>
      </c>
      <c r="C17">
        <v>15.367900000000001</v>
      </c>
      <c r="D17">
        <v>15.466100000000001</v>
      </c>
      <c r="E17">
        <v>15.426399999999999</v>
      </c>
      <c r="F17" s="1">
        <f t="shared" ref="F17:F28" si="13">MIN(C17:E17)</f>
        <v>15.367900000000001</v>
      </c>
      <c r="G17" s="1">
        <f t="shared" ref="G17:G28" si="14">MAX(C17:E17)</f>
        <v>15.466100000000001</v>
      </c>
      <c r="H17" s="1">
        <f t="shared" ref="H17:H28" si="15">AVERAGE(C17:E17)</f>
        <v>15.420133333333334</v>
      </c>
      <c r="I17" s="1">
        <f t="shared" ref="I17:I28" si="16">STDEV(C17:E17)</f>
        <v>4.9399021582753416E-2</v>
      </c>
      <c r="J17" s="3">
        <f t="shared" si="10"/>
        <v>3.2035404957211837E-3</v>
      </c>
    </row>
    <row r="18" spans="1:10">
      <c r="A18">
        <v>4</v>
      </c>
      <c r="B18">
        <v>2</v>
      </c>
      <c r="C18">
        <v>22.944500000000001</v>
      </c>
      <c r="D18">
        <v>22.878499999999999</v>
      </c>
      <c r="E18">
        <v>22.819299999999998</v>
      </c>
      <c r="F18" s="1">
        <f t="shared" si="13"/>
        <v>22.819299999999998</v>
      </c>
      <c r="G18" s="1">
        <f t="shared" si="14"/>
        <v>22.944500000000001</v>
      </c>
      <c r="H18" s="1">
        <f t="shared" si="15"/>
        <v>22.88076666666667</v>
      </c>
      <c r="I18" s="1">
        <f t="shared" si="16"/>
        <v>6.2630769860616664E-2</v>
      </c>
      <c r="J18" s="3">
        <f t="shared" si="10"/>
        <v>2.7372671017994732E-3</v>
      </c>
    </row>
    <row r="19" spans="1:10">
      <c r="A19">
        <v>4</v>
      </c>
      <c r="B19">
        <v>3</v>
      </c>
      <c r="C19">
        <v>23.898700000000002</v>
      </c>
      <c r="D19">
        <v>24.264500000000002</v>
      </c>
      <c r="E19">
        <v>24.094799999999999</v>
      </c>
      <c r="F19" s="1">
        <f t="shared" si="13"/>
        <v>23.898700000000002</v>
      </c>
      <c r="G19" s="4">
        <f t="shared" si="14"/>
        <v>24.264500000000002</v>
      </c>
      <c r="H19" s="1">
        <f t="shared" si="15"/>
        <v>24.086000000000002</v>
      </c>
      <c r="I19" s="1">
        <f t="shared" si="16"/>
        <v>0.18305870642961775</v>
      </c>
      <c r="J19" s="3">
        <f t="shared" si="10"/>
        <v>7.6002120082046716E-3</v>
      </c>
    </row>
    <row r="20" spans="1:10">
      <c r="A20">
        <v>4</v>
      </c>
      <c r="B20">
        <v>4</v>
      </c>
      <c r="C20">
        <v>23.474599999999999</v>
      </c>
      <c r="D20">
        <v>23.636399999999998</v>
      </c>
      <c r="E20">
        <v>23.472200000000001</v>
      </c>
      <c r="F20" s="1">
        <f t="shared" si="13"/>
        <v>23.472200000000001</v>
      </c>
      <c r="G20" s="1">
        <f t="shared" si="14"/>
        <v>23.636399999999998</v>
      </c>
      <c r="H20" s="1">
        <f t="shared" si="15"/>
        <v>23.527733333333334</v>
      </c>
      <c r="I20" s="1">
        <f t="shared" si="16"/>
        <v>9.4115744343511235E-2</v>
      </c>
      <c r="J20" s="3">
        <f t="shared" si="10"/>
        <v>4.0002044825189808E-3</v>
      </c>
    </row>
    <row r="21" spans="1:10">
      <c r="A21">
        <v>4</v>
      </c>
      <c r="B21">
        <v>5</v>
      </c>
      <c r="C21">
        <v>21.15</v>
      </c>
      <c r="E21">
        <v>21.269200000000001</v>
      </c>
      <c r="F21" s="1">
        <f t="shared" si="13"/>
        <v>21.15</v>
      </c>
      <c r="G21" s="1">
        <f t="shared" si="14"/>
        <v>21.269200000000001</v>
      </c>
      <c r="H21" s="1">
        <f t="shared" si="15"/>
        <v>21.209600000000002</v>
      </c>
      <c r="I21" s="1">
        <f t="shared" si="16"/>
        <v>8.4287128317438481E-2</v>
      </c>
      <c r="J21" s="3">
        <f t="shared" si="10"/>
        <v>3.9740083885334227E-3</v>
      </c>
    </row>
    <row r="22" spans="1:10">
      <c r="A22">
        <v>4</v>
      </c>
      <c r="B22">
        <v>6</v>
      </c>
      <c r="C22">
        <v>23.310300000000002</v>
      </c>
      <c r="E22">
        <v>23.260400000000001</v>
      </c>
      <c r="F22" s="1">
        <f t="shared" si="13"/>
        <v>23.260400000000001</v>
      </c>
      <c r="G22" s="1">
        <f t="shared" si="14"/>
        <v>23.310300000000002</v>
      </c>
      <c r="H22" s="1">
        <f t="shared" si="15"/>
        <v>23.285350000000001</v>
      </c>
      <c r="I22" s="1">
        <f t="shared" si="16"/>
        <v>3.5284628381209389E-2</v>
      </c>
      <c r="J22" s="3">
        <f t="shared" si="10"/>
        <v>1.5153144952173528E-3</v>
      </c>
    </row>
    <row r="23" spans="1:10">
      <c r="A23" s="6">
        <v>8</v>
      </c>
      <c r="B23" s="6">
        <v>1</v>
      </c>
      <c r="C23" s="6">
        <v>30.627800000000001</v>
      </c>
      <c r="D23" s="6">
        <v>30.9221</v>
      </c>
      <c r="E23" s="6">
        <v>30.859500000000001</v>
      </c>
      <c r="F23" s="7">
        <f t="shared" si="13"/>
        <v>30.627800000000001</v>
      </c>
      <c r="G23" s="7">
        <f t="shared" si="14"/>
        <v>30.9221</v>
      </c>
      <c r="H23" s="7">
        <f t="shared" si="15"/>
        <v>30.803133333333335</v>
      </c>
      <c r="I23" s="7">
        <f t="shared" si="16"/>
        <v>0.15503555506184158</v>
      </c>
      <c r="J23" s="8">
        <f t="shared" si="10"/>
        <v>5.0331098912613295E-3</v>
      </c>
    </row>
    <row r="24" spans="1:10">
      <c r="A24" s="6">
        <v>8</v>
      </c>
      <c r="B24" s="6">
        <v>2</v>
      </c>
      <c r="C24" s="6">
        <v>45.1952</v>
      </c>
      <c r="D24" s="6">
        <v>45.887500000000003</v>
      </c>
      <c r="E24" s="6">
        <v>45.758899999999997</v>
      </c>
      <c r="F24" s="7">
        <f t="shared" si="13"/>
        <v>45.1952</v>
      </c>
      <c r="G24" s="7">
        <f t="shared" si="14"/>
        <v>45.887500000000003</v>
      </c>
      <c r="H24" s="7">
        <f t="shared" si="15"/>
        <v>45.613866666666667</v>
      </c>
      <c r="I24" s="7">
        <f t="shared" si="16"/>
        <v>0.36823338161207009</v>
      </c>
      <c r="J24" s="8">
        <f t="shared" si="10"/>
        <v>8.0728385581300584E-3</v>
      </c>
    </row>
    <row r="25" spans="1:10">
      <c r="A25" s="6">
        <v>8</v>
      </c>
      <c r="B25" s="6">
        <v>3</v>
      </c>
      <c r="C25" s="6">
        <v>47.954799999999999</v>
      </c>
      <c r="D25" s="6">
        <v>48.432000000000002</v>
      </c>
      <c r="E25" s="6">
        <v>48.132300000000001</v>
      </c>
      <c r="F25" s="7">
        <f t="shared" si="13"/>
        <v>47.954799999999999</v>
      </c>
      <c r="G25" s="9">
        <f t="shared" si="14"/>
        <v>48.432000000000002</v>
      </c>
      <c r="H25" s="7">
        <f t="shared" si="15"/>
        <v>48.173033333333329</v>
      </c>
      <c r="I25" s="7">
        <f t="shared" si="16"/>
        <v>0.24119362208456913</v>
      </c>
      <c r="J25" s="8">
        <f t="shared" si="10"/>
        <v>5.0068182423894658E-3</v>
      </c>
    </row>
    <row r="26" spans="1:10">
      <c r="A26" s="6">
        <v>8</v>
      </c>
      <c r="B26" s="6">
        <v>4</v>
      </c>
      <c r="C26" s="6">
        <v>48.805100000000003</v>
      </c>
      <c r="D26" s="6">
        <v>44.238599999999998</v>
      </c>
      <c r="E26" s="6">
        <v>46.916600000000003</v>
      </c>
      <c r="F26" s="7">
        <f t="shared" si="13"/>
        <v>44.238599999999998</v>
      </c>
      <c r="G26" s="7">
        <f t="shared" si="14"/>
        <v>48.805100000000003</v>
      </c>
      <c r="H26" s="7">
        <f t="shared" si="15"/>
        <v>46.653433333333339</v>
      </c>
      <c r="I26" s="7">
        <f t="shared" si="16"/>
        <v>2.2945964968448558</v>
      </c>
      <c r="J26" s="8">
        <f t="shared" si="10"/>
        <v>4.9183872073256245E-2</v>
      </c>
    </row>
    <row r="27" spans="1:10">
      <c r="A27" s="6">
        <v>8</v>
      </c>
      <c r="B27" s="6">
        <v>5</v>
      </c>
      <c r="C27" s="6">
        <v>43.658700000000003</v>
      </c>
      <c r="D27" s="6"/>
      <c r="E27" s="6">
        <v>42.581699999999998</v>
      </c>
      <c r="F27" s="7">
        <f t="shared" si="13"/>
        <v>42.581699999999998</v>
      </c>
      <c r="G27" s="7">
        <f t="shared" si="14"/>
        <v>43.658700000000003</v>
      </c>
      <c r="H27" s="7">
        <f t="shared" si="15"/>
        <v>43.120199999999997</v>
      </c>
      <c r="I27" s="7">
        <f t="shared" si="16"/>
        <v>0.76155400333833334</v>
      </c>
      <c r="J27" s="8">
        <f t="shared" si="10"/>
        <v>1.7661189032943572E-2</v>
      </c>
    </row>
    <row r="28" spans="1:10">
      <c r="A28" s="6">
        <v>8</v>
      </c>
      <c r="B28" s="6">
        <v>6</v>
      </c>
      <c r="C28" s="6">
        <v>47.5124</v>
      </c>
      <c r="D28" s="6"/>
      <c r="E28" s="6">
        <v>46.543199999999999</v>
      </c>
      <c r="F28" s="7">
        <f t="shared" si="13"/>
        <v>46.543199999999999</v>
      </c>
      <c r="G28" s="7">
        <f t="shared" si="14"/>
        <v>47.5124</v>
      </c>
      <c r="H28" s="7">
        <f t="shared" si="15"/>
        <v>47.027799999999999</v>
      </c>
      <c r="I28" s="7">
        <f t="shared" si="16"/>
        <v>0.68532789232614388</v>
      </c>
      <c r="J28" s="8">
        <f t="shared" si="10"/>
        <v>1.4572824846710752E-2</v>
      </c>
    </row>
    <row r="29" spans="1:10">
      <c r="A29">
        <v>16</v>
      </c>
      <c r="B29">
        <v>1</v>
      </c>
      <c r="C29">
        <v>61.144199999999998</v>
      </c>
      <c r="D29">
        <v>61.712899999999998</v>
      </c>
      <c r="E29">
        <v>60.1419</v>
      </c>
      <c r="F29" s="1">
        <f t="shared" ref="F29:F40" si="17">MIN(C29:E29)</f>
        <v>60.1419</v>
      </c>
      <c r="G29" s="1">
        <f t="shared" ref="G29:G40" si="18">MAX(C29:E29)</f>
        <v>61.712899999999998</v>
      </c>
      <c r="H29" s="1">
        <f t="shared" ref="H29:H40" si="19">AVERAGE(C29:E29)</f>
        <v>60.999666666666663</v>
      </c>
      <c r="I29" s="1">
        <f t="shared" ref="I29:I64" si="20">STDEV(C29:E29)</f>
        <v>0.79541037416744664</v>
      </c>
      <c r="J29" s="3">
        <f t="shared" ref="J29:J64" si="21">I29/H29</f>
        <v>1.303958558517992E-2</v>
      </c>
    </row>
    <row r="30" spans="1:10">
      <c r="A30">
        <v>16</v>
      </c>
      <c r="B30">
        <v>2</v>
      </c>
      <c r="C30">
        <v>90.229100000000003</v>
      </c>
      <c r="D30">
        <v>91.253100000000003</v>
      </c>
      <c r="E30">
        <v>91.600099999999998</v>
      </c>
      <c r="F30" s="1">
        <f t="shared" si="17"/>
        <v>90.229100000000003</v>
      </c>
      <c r="G30" s="1">
        <f t="shared" si="18"/>
        <v>91.600099999999998</v>
      </c>
      <c r="H30" s="1">
        <f t="shared" si="19"/>
        <v>91.027433333333349</v>
      </c>
      <c r="I30" s="1">
        <f t="shared" si="20"/>
        <v>0.7128143750867163</v>
      </c>
      <c r="J30" s="3">
        <f t="shared" si="21"/>
        <v>7.8307642980161973E-3</v>
      </c>
    </row>
    <row r="31" spans="1:10">
      <c r="A31">
        <v>16</v>
      </c>
      <c r="B31">
        <v>3</v>
      </c>
      <c r="C31">
        <v>95.172499999999999</v>
      </c>
      <c r="D31">
        <v>95.887299999999996</v>
      </c>
      <c r="E31">
        <v>95.301900000000003</v>
      </c>
      <c r="F31" s="1">
        <f t="shared" si="17"/>
        <v>95.172499999999999</v>
      </c>
      <c r="G31" s="4">
        <f t="shared" si="18"/>
        <v>95.887299999999996</v>
      </c>
      <c r="H31" s="1">
        <f t="shared" si="19"/>
        <v>95.45389999999999</v>
      </c>
      <c r="I31" s="1">
        <f t="shared" si="20"/>
        <v>0.38087105429853096</v>
      </c>
      <c r="J31" s="3">
        <f t="shared" si="21"/>
        <v>3.9901046924068163E-3</v>
      </c>
    </row>
    <row r="32" spans="1:10">
      <c r="A32">
        <v>16</v>
      </c>
      <c r="B32">
        <v>4</v>
      </c>
      <c r="C32">
        <v>93.895099999999999</v>
      </c>
      <c r="D32">
        <v>83.949200000000005</v>
      </c>
      <c r="E32">
        <v>93.3596</v>
      </c>
      <c r="F32" s="1">
        <f t="shared" si="17"/>
        <v>83.949200000000005</v>
      </c>
      <c r="G32" s="1">
        <f t="shared" si="18"/>
        <v>93.895099999999999</v>
      </c>
      <c r="H32" s="1">
        <f t="shared" si="19"/>
        <v>90.401299999999992</v>
      </c>
      <c r="I32" s="1">
        <f t="shared" si="20"/>
        <v>5.594093838147673</v>
      </c>
      <c r="J32" s="3">
        <f t="shared" si="21"/>
        <v>6.1880679129035464E-2</v>
      </c>
    </row>
    <row r="33" spans="1:10">
      <c r="A33">
        <v>16</v>
      </c>
      <c r="B33">
        <v>5</v>
      </c>
      <c r="E33">
        <v>84.228099999999998</v>
      </c>
      <c r="F33" s="1">
        <f t="shared" si="17"/>
        <v>84.228099999999998</v>
      </c>
      <c r="G33" s="1">
        <f t="shared" si="18"/>
        <v>84.228099999999998</v>
      </c>
      <c r="H33" s="1">
        <f t="shared" si="19"/>
        <v>84.228099999999998</v>
      </c>
      <c r="I33" s="1" t="e">
        <f t="shared" si="20"/>
        <v>#DIV/0!</v>
      </c>
      <c r="J33" s="3" t="e">
        <f t="shared" si="21"/>
        <v>#DIV/0!</v>
      </c>
    </row>
    <row r="34" spans="1:10">
      <c r="A34">
        <v>16</v>
      </c>
      <c r="B34">
        <v>6</v>
      </c>
      <c r="E34">
        <v>92.858599999999996</v>
      </c>
      <c r="F34" s="1">
        <f t="shared" si="17"/>
        <v>92.858599999999996</v>
      </c>
      <c r="G34" s="1">
        <f t="shared" si="18"/>
        <v>92.858599999999996</v>
      </c>
      <c r="H34" s="1">
        <f t="shared" si="19"/>
        <v>92.858599999999996</v>
      </c>
      <c r="I34" s="1" t="e">
        <f t="shared" si="20"/>
        <v>#DIV/0!</v>
      </c>
      <c r="J34" s="3" t="e">
        <f t="shared" si="21"/>
        <v>#DIV/0!</v>
      </c>
    </row>
    <row r="35" spans="1:10">
      <c r="A35" s="6">
        <v>32</v>
      </c>
      <c r="B35" s="6">
        <v>1</v>
      </c>
      <c r="C35" s="6">
        <v>122.51900000000001</v>
      </c>
      <c r="D35" s="6">
        <v>123.18</v>
      </c>
      <c r="E35" s="6">
        <v>122.65600000000001</v>
      </c>
      <c r="F35" s="7">
        <f t="shared" si="17"/>
        <v>122.51900000000001</v>
      </c>
      <c r="G35" s="7">
        <f t="shared" si="18"/>
        <v>123.18</v>
      </c>
      <c r="H35" s="7">
        <f t="shared" si="19"/>
        <v>122.78500000000001</v>
      </c>
      <c r="I35" s="7">
        <f t="shared" si="20"/>
        <v>0.34887103634437827</v>
      </c>
      <c r="J35" s="8">
        <f t="shared" si="21"/>
        <v>2.841316417676249E-3</v>
      </c>
    </row>
    <row r="36" spans="1:10">
      <c r="A36" s="6">
        <v>32</v>
      </c>
      <c r="B36" s="6">
        <v>2</v>
      </c>
      <c r="C36" s="6">
        <v>180.99199999999999</v>
      </c>
      <c r="D36" s="6">
        <v>180.75800000000001</v>
      </c>
      <c r="E36" s="6">
        <v>182.31899999999999</v>
      </c>
      <c r="F36" s="7">
        <f t="shared" si="17"/>
        <v>180.75800000000001</v>
      </c>
      <c r="G36" s="7">
        <f t="shared" si="18"/>
        <v>182.31899999999999</v>
      </c>
      <c r="H36" s="7">
        <f t="shared" si="19"/>
        <v>181.35633333333331</v>
      </c>
      <c r="I36" s="7">
        <f t="shared" si="20"/>
        <v>0.84186360732203425</v>
      </c>
      <c r="J36" s="8">
        <f t="shared" si="21"/>
        <v>4.6420413990984656E-3</v>
      </c>
    </row>
    <row r="37" spans="1:10">
      <c r="A37" s="6">
        <v>32</v>
      </c>
      <c r="B37" s="6">
        <v>3</v>
      </c>
      <c r="C37" s="6">
        <v>191.66900000000001</v>
      </c>
      <c r="D37" s="6">
        <v>193.084</v>
      </c>
      <c r="E37" s="6">
        <v>189.76499999999999</v>
      </c>
      <c r="F37" s="7">
        <f t="shared" si="17"/>
        <v>189.76499999999999</v>
      </c>
      <c r="G37" s="9">
        <f t="shared" si="18"/>
        <v>193.084</v>
      </c>
      <c r="H37" s="7">
        <f t="shared" si="19"/>
        <v>191.506</v>
      </c>
      <c r="I37" s="7">
        <f t="shared" si="20"/>
        <v>1.665493020096142</v>
      </c>
      <c r="J37" s="8">
        <f t="shared" si="21"/>
        <v>8.6968190035619872E-3</v>
      </c>
    </row>
    <row r="38" spans="1:10">
      <c r="A38" s="6">
        <v>32</v>
      </c>
      <c r="B38" s="6">
        <v>4</v>
      </c>
      <c r="C38" s="6">
        <v>169.36699999999999</v>
      </c>
      <c r="D38" s="6">
        <v>182.85900000000001</v>
      </c>
      <c r="E38" s="6">
        <v>185.33099999999999</v>
      </c>
      <c r="F38" s="7">
        <f t="shared" si="17"/>
        <v>169.36699999999999</v>
      </c>
      <c r="G38" s="7">
        <f t="shared" si="18"/>
        <v>185.33099999999999</v>
      </c>
      <c r="H38" s="7">
        <f t="shared" si="19"/>
        <v>179.18566666666666</v>
      </c>
      <c r="I38" s="7">
        <f t="shared" si="20"/>
        <v>8.5925757100727811</v>
      </c>
      <c r="J38" s="8">
        <f t="shared" si="21"/>
        <v>4.795347680379633E-2</v>
      </c>
    </row>
    <row r="39" spans="1:10">
      <c r="A39" s="6">
        <v>32</v>
      </c>
      <c r="B39" s="6">
        <v>5</v>
      </c>
      <c r="C39" s="6">
        <v>168.91300000000001</v>
      </c>
      <c r="D39" s="6">
        <v>167.23500000000001</v>
      </c>
      <c r="E39" s="6">
        <v>168.75299999999999</v>
      </c>
      <c r="F39" s="7">
        <f t="shared" si="17"/>
        <v>167.23500000000001</v>
      </c>
      <c r="G39" s="7">
        <f t="shared" si="18"/>
        <v>168.91300000000001</v>
      </c>
      <c r="H39" s="7">
        <f t="shared" si="19"/>
        <v>168.30033333333333</v>
      </c>
      <c r="I39" s="7">
        <f t="shared" si="20"/>
        <v>0.92606767211515828</v>
      </c>
      <c r="J39" s="8">
        <f t="shared" si="21"/>
        <v>5.5024708137743341E-3</v>
      </c>
    </row>
    <row r="40" spans="1:10">
      <c r="A40" s="6">
        <v>32</v>
      </c>
      <c r="B40" s="6">
        <v>6</v>
      </c>
      <c r="C40" s="6">
        <v>184.87</v>
      </c>
      <c r="D40" s="6">
        <v>186.19200000000001</v>
      </c>
      <c r="E40" s="6">
        <v>185.48699999999999</v>
      </c>
      <c r="F40" s="7">
        <f t="shared" si="17"/>
        <v>184.87</v>
      </c>
      <c r="G40" s="7">
        <f t="shared" si="18"/>
        <v>186.19200000000001</v>
      </c>
      <c r="H40" s="7">
        <f t="shared" si="19"/>
        <v>185.51633333333334</v>
      </c>
      <c r="I40" s="7">
        <f t="shared" si="20"/>
        <v>0.66148796915834951</v>
      </c>
      <c r="J40" s="8">
        <f t="shared" si="21"/>
        <v>3.5656589221704621E-3</v>
      </c>
    </row>
    <row r="41" spans="1:10">
      <c r="A41">
        <v>64</v>
      </c>
      <c r="B41">
        <v>1</v>
      </c>
      <c r="C41">
        <v>245.68199999999999</v>
      </c>
      <c r="D41">
        <v>208.524</v>
      </c>
      <c r="E41">
        <v>244.41300000000001</v>
      </c>
      <c r="F41" s="10">
        <f t="shared" ref="F41:F66" si="22">MIN(C41:E41)</f>
        <v>208.524</v>
      </c>
      <c r="G41" s="10">
        <f t="shared" ref="G41:G66" si="23">MAX(C41:E41)</f>
        <v>245.68199999999999</v>
      </c>
      <c r="H41" s="10">
        <f t="shared" ref="H41:H66" si="24">AVERAGE(C41:E41)</f>
        <v>232.87300000000002</v>
      </c>
      <c r="I41" s="10">
        <f t="shared" si="20"/>
        <v>21.096396398437147</v>
      </c>
      <c r="J41" s="11">
        <f t="shared" si="21"/>
        <v>9.0591852204579937E-2</v>
      </c>
    </row>
    <row r="42" spans="1:10">
      <c r="A42">
        <v>64</v>
      </c>
      <c r="B42">
        <v>2</v>
      </c>
      <c r="C42">
        <v>361.90300000000002</v>
      </c>
      <c r="D42">
        <v>358.98700000000002</v>
      </c>
      <c r="E42">
        <v>359.86200000000002</v>
      </c>
      <c r="F42" s="10">
        <f t="shared" si="22"/>
        <v>358.98700000000002</v>
      </c>
      <c r="G42" s="10">
        <f t="shared" si="23"/>
        <v>361.90300000000002</v>
      </c>
      <c r="H42" s="10">
        <f t="shared" si="24"/>
        <v>360.25066666666675</v>
      </c>
      <c r="I42" s="10">
        <f t="shared" si="20"/>
        <v>1.4963490011657279</v>
      </c>
      <c r="J42" s="11">
        <f t="shared" si="21"/>
        <v>4.1536328440726295E-3</v>
      </c>
    </row>
    <row r="43" spans="1:10">
      <c r="A43">
        <v>64</v>
      </c>
      <c r="B43">
        <v>3</v>
      </c>
      <c r="C43">
        <v>380.51100000000002</v>
      </c>
      <c r="D43">
        <v>379.09500000000003</v>
      </c>
      <c r="E43">
        <v>378.12400000000002</v>
      </c>
      <c r="F43" s="10">
        <f t="shared" si="22"/>
        <v>378.12400000000002</v>
      </c>
      <c r="G43" s="10">
        <f t="shared" si="23"/>
        <v>380.51100000000002</v>
      </c>
      <c r="H43" s="10">
        <f t="shared" si="24"/>
        <v>379.24333333333334</v>
      </c>
      <c r="I43" s="10">
        <f t="shared" si="20"/>
        <v>1.2003934077568661</v>
      </c>
      <c r="J43" s="11">
        <f t="shared" si="21"/>
        <v>3.165232720654811E-3</v>
      </c>
    </row>
    <row r="44" spans="1:10">
      <c r="A44">
        <v>64</v>
      </c>
      <c r="B44">
        <v>4</v>
      </c>
      <c r="C44">
        <v>365.21</v>
      </c>
      <c r="D44">
        <v>371.78899999999999</v>
      </c>
      <c r="E44">
        <v>255.054</v>
      </c>
      <c r="F44" s="10">
        <f t="shared" si="22"/>
        <v>255.054</v>
      </c>
      <c r="G44" s="10">
        <f t="shared" si="23"/>
        <v>371.78899999999999</v>
      </c>
      <c r="H44" s="10">
        <f t="shared" si="24"/>
        <v>330.68433333333331</v>
      </c>
      <c r="I44" s="10">
        <f t="shared" si="20"/>
        <v>65.580342331626326</v>
      </c>
      <c r="J44" s="11">
        <f t="shared" si="21"/>
        <v>0.19831705261198646</v>
      </c>
    </row>
    <row r="45" spans="1:10">
      <c r="A45">
        <v>64</v>
      </c>
      <c r="B45">
        <v>5</v>
      </c>
      <c r="C45">
        <v>336.149</v>
      </c>
      <c r="D45">
        <v>338.142</v>
      </c>
      <c r="E45">
        <v>336.70499999999998</v>
      </c>
      <c r="F45" s="10">
        <f t="shared" si="22"/>
        <v>336.149</v>
      </c>
      <c r="G45" s="10">
        <f t="shared" si="23"/>
        <v>338.142</v>
      </c>
      <c r="H45" s="10">
        <f t="shared" si="24"/>
        <v>336.99866666666662</v>
      </c>
      <c r="I45" s="10">
        <f t="shared" si="20"/>
        <v>1.0284417014869673</v>
      </c>
      <c r="J45" s="11">
        <f t="shared" si="21"/>
        <v>3.0517678650171737E-3</v>
      </c>
    </row>
    <row r="46" spans="1:10">
      <c r="A46">
        <v>64</v>
      </c>
      <c r="B46">
        <v>6</v>
      </c>
      <c r="C46">
        <v>366.50700000000001</v>
      </c>
      <c r="D46">
        <v>369.3</v>
      </c>
      <c r="E46">
        <v>370.67399999999998</v>
      </c>
      <c r="F46" s="10">
        <f t="shared" si="22"/>
        <v>366.50700000000001</v>
      </c>
      <c r="G46" s="10">
        <f t="shared" si="23"/>
        <v>370.67399999999998</v>
      </c>
      <c r="H46" s="10">
        <f t="shared" si="24"/>
        <v>368.827</v>
      </c>
      <c r="I46" s="10">
        <f t="shared" si="20"/>
        <v>2.1233862107578094</v>
      </c>
      <c r="J46" s="11">
        <f t="shared" si="21"/>
        <v>5.7571333193009444E-3</v>
      </c>
    </row>
    <row r="47" spans="1:10">
      <c r="A47" s="6">
        <v>128</v>
      </c>
      <c r="B47" s="6">
        <v>1</v>
      </c>
      <c r="C47" s="6">
        <v>478.81700000000001</v>
      </c>
      <c r="D47" s="6">
        <v>483.12700000000001</v>
      </c>
      <c r="E47" s="6">
        <v>481.61099999999999</v>
      </c>
      <c r="F47" s="7">
        <f t="shared" si="22"/>
        <v>478.81700000000001</v>
      </c>
      <c r="G47" s="7">
        <f t="shared" si="23"/>
        <v>483.12700000000001</v>
      </c>
      <c r="H47" s="7">
        <f t="shared" si="24"/>
        <v>481.18499999999995</v>
      </c>
      <c r="I47" s="7">
        <f t="shared" si="20"/>
        <v>2.1863512984197508</v>
      </c>
      <c r="J47" s="8">
        <f t="shared" si="21"/>
        <v>4.5436813251031327E-3</v>
      </c>
    </row>
    <row r="48" spans="1:10">
      <c r="A48" s="6">
        <v>128</v>
      </c>
      <c r="B48" s="6">
        <v>2</v>
      </c>
      <c r="C48" s="6">
        <v>713.05499999999995</v>
      </c>
      <c r="D48" s="6">
        <v>721.31500000000005</v>
      </c>
      <c r="E48" s="6">
        <v>720.22699999999998</v>
      </c>
      <c r="F48" s="7">
        <f t="shared" si="22"/>
        <v>713.05499999999995</v>
      </c>
      <c r="G48" s="7">
        <f t="shared" si="23"/>
        <v>721.31500000000005</v>
      </c>
      <c r="H48" s="7">
        <f t="shared" si="24"/>
        <v>718.19899999999996</v>
      </c>
      <c r="I48" s="7">
        <f t="shared" si="20"/>
        <v>4.487926915644735</v>
      </c>
      <c r="J48" s="8">
        <f t="shared" si="21"/>
        <v>6.2488626629175689E-3</v>
      </c>
    </row>
    <row r="49" spans="1:10">
      <c r="A49" s="6">
        <v>128</v>
      </c>
      <c r="B49" s="6">
        <v>3</v>
      </c>
      <c r="C49" s="6">
        <v>759.447</v>
      </c>
      <c r="D49" s="6">
        <v>770.85699999999997</v>
      </c>
      <c r="E49" s="6">
        <v>763.16</v>
      </c>
      <c r="F49" s="7">
        <f t="shared" si="22"/>
        <v>759.447</v>
      </c>
      <c r="G49" s="7">
        <f t="shared" si="23"/>
        <v>770.85699999999997</v>
      </c>
      <c r="H49" s="7">
        <f t="shared" si="24"/>
        <v>764.48799999999994</v>
      </c>
      <c r="I49" s="7">
        <f t="shared" si="20"/>
        <v>5.8197691534992924</v>
      </c>
      <c r="J49" s="8">
        <f t="shared" si="21"/>
        <v>7.6126363703541361E-3</v>
      </c>
    </row>
    <row r="50" spans="1:10">
      <c r="A50" s="6">
        <v>128</v>
      </c>
      <c r="B50" s="6">
        <v>4</v>
      </c>
      <c r="C50" s="6">
        <v>668.44500000000005</v>
      </c>
      <c r="D50" s="6">
        <v>748.90499999999997</v>
      </c>
      <c r="E50" s="6">
        <v>743.95299999999997</v>
      </c>
      <c r="F50" s="7">
        <f t="shared" si="22"/>
        <v>668.44500000000005</v>
      </c>
      <c r="G50" s="7">
        <f t="shared" si="23"/>
        <v>748.90499999999997</v>
      </c>
      <c r="H50" s="7">
        <f t="shared" si="24"/>
        <v>720.43433333333326</v>
      </c>
      <c r="I50" s="7">
        <f t="shared" si="20"/>
        <v>45.092113072392074</v>
      </c>
      <c r="J50" s="8">
        <f t="shared" si="21"/>
        <v>6.259017787750086E-2</v>
      </c>
    </row>
    <row r="51" spans="1:10">
      <c r="A51" s="6">
        <v>128</v>
      </c>
      <c r="B51" s="6">
        <v>5</v>
      </c>
      <c r="C51" s="6">
        <v>672.99400000000003</v>
      </c>
      <c r="D51" s="6">
        <v>679.63599999999997</v>
      </c>
      <c r="E51" s="6">
        <v>676.09100000000001</v>
      </c>
      <c r="F51" s="7">
        <f t="shared" si="22"/>
        <v>672.99400000000003</v>
      </c>
      <c r="G51" s="7">
        <f t="shared" si="23"/>
        <v>679.63599999999997</v>
      </c>
      <c r="H51" s="7">
        <f t="shared" si="24"/>
        <v>676.2403333333333</v>
      </c>
      <c r="I51" s="7">
        <f t="shared" si="20"/>
        <v>3.3235171630895652</v>
      </c>
      <c r="J51" s="8">
        <f t="shared" si="21"/>
        <v>4.9146982208340606E-3</v>
      </c>
    </row>
    <row r="52" spans="1:10">
      <c r="A52" s="6">
        <v>128</v>
      </c>
      <c r="B52" s="6">
        <v>6</v>
      </c>
      <c r="C52" s="6"/>
      <c r="D52" s="6">
        <v>739.529</v>
      </c>
      <c r="E52" s="6"/>
      <c r="F52" s="7">
        <f t="shared" si="22"/>
        <v>739.529</v>
      </c>
      <c r="G52" s="7">
        <f t="shared" si="23"/>
        <v>739.529</v>
      </c>
      <c r="H52" s="7">
        <f t="shared" si="24"/>
        <v>739.529</v>
      </c>
      <c r="I52" s="7" t="e">
        <f t="shared" si="20"/>
        <v>#DIV/0!</v>
      </c>
      <c r="J52" s="8" t="e">
        <f t="shared" si="21"/>
        <v>#DIV/0!</v>
      </c>
    </row>
    <row r="53" spans="1:10">
      <c r="A53">
        <v>256</v>
      </c>
      <c r="B53">
        <v>1</v>
      </c>
      <c r="C53">
        <v>974.85799999999995</v>
      </c>
      <c r="D53" s="15">
        <v>976.56100000000004</v>
      </c>
      <c r="E53">
        <v>974.77300000000002</v>
      </c>
      <c r="F53" s="10">
        <f t="shared" si="22"/>
        <v>974.77300000000002</v>
      </c>
      <c r="G53" s="10">
        <f t="shared" si="23"/>
        <v>976.56100000000004</v>
      </c>
      <c r="H53" s="10">
        <f t="shared" si="24"/>
        <v>975.39733333333334</v>
      </c>
      <c r="I53" s="10">
        <f t="shared" si="20"/>
        <v>1.0086606631541513</v>
      </c>
      <c r="J53" s="3">
        <f t="shared" si="21"/>
        <v>1.034102338282127E-3</v>
      </c>
    </row>
    <row r="54" spans="1:10">
      <c r="A54">
        <v>256</v>
      </c>
      <c r="B54">
        <v>2</v>
      </c>
      <c r="C54">
        <v>1439.54</v>
      </c>
      <c r="D54" s="15">
        <v>1445.53</v>
      </c>
      <c r="E54">
        <v>1438.1</v>
      </c>
      <c r="F54" s="10">
        <f t="shared" si="22"/>
        <v>1438.1</v>
      </c>
      <c r="G54" s="10">
        <f t="shared" si="23"/>
        <v>1445.53</v>
      </c>
      <c r="H54" s="10">
        <f t="shared" si="24"/>
        <v>1441.0566666666666</v>
      </c>
      <c r="I54" s="10">
        <f t="shared" si="20"/>
        <v>3.9403595435979213</v>
      </c>
      <c r="J54" s="3">
        <f t="shared" si="21"/>
        <v>2.7343543350813789E-3</v>
      </c>
    </row>
    <row r="55" spans="1:10">
      <c r="A55">
        <v>256</v>
      </c>
      <c r="B55">
        <v>3</v>
      </c>
      <c r="C55">
        <v>1507.24</v>
      </c>
      <c r="D55" s="15">
        <v>1513.97</v>
      </c>
      <c r="E55">
        <v>1448.29</v>
      </c>
      <c r="F55" s="10">
        <f t="shared" si="22"/>
        <v>1448.29</v>
      </c>
      <c r="G55" s="10">
        <f t="shared" si="23"/>
        <v>1513.97</v>
      </c>
      <c r="H55" s="10">
        <f t="shared" si="24"/>
        <v>1489.8333333333333</v>
      </c>
      <c r="I55" s="10">
        <f t="shared" si="20"/>
        <v>36.134604374935982</v>
      </c>
      <c r="J55" s="3">
        <f t="shared" si="21"/>
        <v>2.4254125321581374E-2</v>
      </c>
    </row>
    <row r="56" spans="1:10">
      <c r="A56">
        <v>256</v>
      </c>
      <c r="B56">
        <v>4</v>
      </c>
      <c r="C56">
        <v>1332.19</v>
      </c>
      <c r="D56" s="15">
        <v>1480.74</v>
      </c>
      <c r="E56">
        <v>1475.92</v>
      </c>
      <c r="F56" s="10">
        <f t="shared" si="22"/>
        <v>1332.19</v>
      </c>
      <c r="G56" s="10">
        <f t="shared" si="23"/>
        <v>1480.74</v>
      </c>
      <c r="H56" s="10">
        <f t="shared" si="24"/>
        <v>1429.6166666666668</v>
      </c>
      <c r="I56" s="10">
        <f t="shared" si="20"/>
        <v>84.408380113191882</v>
      </c>
      <c r="J56" s="3">
        <f t="shared" si="21"/>
        <v>5.9042666528224493E-2</v>
      </c>
    </row>
    <row r="57" spans="1:10">
      <c r="A57">
        <v>256</v>
      </c>
      <c r="B57">
        <v>5</v>
      </c>
      <c r="C57">
        <v>1338.39</v>
      </c>
      <c r="D57" s="15"/>
      <c r="E57">
        <v>1336.97</v>
      </c>
      <c r="F57" s="10">
        <f t="shared" si="22"/>
        <v>1336.97</v>
      </c>
      <c r="G57" s="10">
        <f t="shared" si="23"/>
        <v>1338.39</v>
      </c>
      <c r="H57" s="10">
        <f t="shared" si="24"/>
        <v>1337.68</v>
      </c>
      <c r="I57" s="10">
        <f t="shared" si="20"/>
        <v>1.0040916292849489</v>
      </c>
      <c r="J57" s="3">
        <f t="shared" si="21"/>
        <v>7.5062169523723826E-4</v>
      </c>
    </row>
    <row r="58" spans="1:10">
      <c r="A58">
        <v>256</v>
      </c>
      <c r="B58">
        <v>6</v>
      </c>
      <c r="C58">
        <v>1410.36</v>
      </c>
      <c r="D58" s="15"/>
      <c r="F58" s="10">
        <f t="shared" si="22"/>
        <v>1410.36</v>
      </c>
      <c r="G58" s="10">
        <f t="shared" si="23"/>
        <v>1410.36</v>
      </c>
      <c r="H58" s="10">
        <f t="shared" si="24"/>
        <v>1410.36</v>
      </c>
      <c r="I58" s="10" t="e">
        <f t="shared" si="20"/>
        <v>#DIV/0!</v>
      </c>
      <c r="J58" s="3" t="e">
        <f t="shared" si="21"/>
        <v>#DIV/0!</v>
      </c>
    </row>
    <row r="59" spans="1:10">
      <c r="A59" s="6">
        <v>512</v>
      </c>
      <c r="B59" s="6">
        <v>1</v>
      </c>
      <c r="C59" s="6">
        <v>1946.29</v>
      </c>
      <c r="D59" s="6">
        <v>1948.99</v>
      </c>
      <c r="E59" s="6">
        <v>1954.14</v>
      </c>
      <c r="F59" s="7">
        <f t="shared" si="22"/>
        <v>1946.29</v>
      </c>
      <c r="G59" s="7">
        <f t="shared" si="23"/>
        <v>1954.14</v>
      </c>
      <c r="H59" s="7">
        <f t="shared" si="24"/>
        <v>1949.8066666666666</v>
      </c>
      <c r="I59" s="7">
        <f t="shared" si="20"/>
        <v>3.988211796381854</v>
      </c>
      <c r="J59" s="8">
        <f t="shared" si="21"/>
        <v>2.0454396143798122E-3</v>
      </c>
    </row>
    <row r="60" spans="1:10">
      <c r="A60" s="6">
        <v>512</v>
      </c>
      <c r="B60" s="6">
        <v>2</v>
      </c>
      <c r="C60" s="6">
        <v>2769.5</v>
      </c>
      <c r="D60" s="6">
        <v>2835.03</v>
      </c>
      <c r="E60" s="6">
        <v>2851</v>
      </c>
      <c r="F60" s="7">
        <f t="shared" si="22"/>
        <v>2769.5</v>
      </c>
      <c r="G60" s="7">
        <f t="shared" si="23"/>
        <v>2851</v>
      </c>
      <c r="H60" s="7">
        <f t="shared" si="24"/>
        <v>2818.51</v>
      </c>
      <c r="I60" s="7">
        <f t="shared" si="20"/>
        <v>43.188485734031829</v>
      </c>
      <c r="J60" s="8">
        <f t="shared" si="21"/>
        <v>1.5323162143839058E-2</v>
      </c>
    </row>
    <row r="61" spans="1:10">
      <c r="A61" s="6">
        <v>512</v>
      </c>
      <c r="B61" s="6">
        <v>3</v>
      </c>
      <c r="C61" s="6">
        <v>2987.47</v>
      </c>
      <c r="D61" s="6">
        <v>2531.91</v>
      </c>
      <c r="E61" s="6">
        <v>2956.06</v>
      </c>
      <c r="F61" s="7">
        <f t="shared" si="22"/>
        <v>2531.91</v>
      </c>
      <c r="G61" s="7">
        <f t="shared" si="23"/>
        <v>2987.47</v>
      </c>
      <c r="H61" s="7">
        <f t="shared" si="24"/>
        <v>2825.1466666666661</v>
      </c>
      <c r="I61" s="7">
        <f t="shared" si="20"/>
        <v>254.43555968719403</v>
      </c>
      <c r="J61" s="8">
        <f t="shared" si="21"/>
        <v>9.0061009111218088E-2</v>
      </c>
    </row>
    <row r="62" spans="1:10">
      <c r="A62" s="6">
        <v>512</v>
      </c>
      <c r="B62" s="6">
        <v>4</v>
      </c>
      <c r="C62" s="6">
        <v>2906.48</v>
      </c>
      <c r="D62" s="6">
        <v>2668.69</v>
      </c>
      <c r="E62" s="6">
        <v>2818.99</v>
      </c>
      <c r="F62" s="7">
        <f t="shared" si="22"/>
        <v>2668.69</v>
      </c>
      <c r="G62" s="7">
        <f t="shared" si="23"/>
        <v>2906.48</v>
      </c>
      <c r="H62" s="7">
        <f t="shared" si="24"/>
        <v>2798.0533333333333</v>
      </c>
      <c r="I62" s="7">
        <f t="shared" si="20"/>
        <v>120.26960976627913</v>
      </c>
      <c r="J62" s="8">
        <f t="shared" si="21"/>
        <v>4.2983315697918245E-2</v>
      </c>
    </row>
    <row r="63" spans="1:10">
      <c r="A63" s="6">
        <v>512</v>
      </c>
      <c r="B63" s="6">
        <v>5</v>
      </c>
      <c r="C63" s="6"/>
      <c r="D63" s="6">
        <v>2653.93</v>
      </c>
      <c r="E63" s="6">
        <v>2660.19</v>
      </c>
      <c r="F63" s="7">
        <f t="shared" ref="F63:F64" si="25">MIN(C63:E63)</f>
        <v>2653.93</v>
      </c>
      <c r="G63" s="7">
        <f t="shared" ref="G63:G64" si="26">MAX(C63:E63)</f>
        <v>2660.19</v>
      </c>
      <c r="H63" s="7">
        <f t="shared" ref="H63:H64" si="27">AVERAGE(C63:E63)</f>
        <v>2657.06</v>
      </c>
      <c r="I63" s="7">
        <f t="shared" si="20"/>
        <v>4.4264884503233919</v>
      </c>
      <c r="J63" s="8">
        <f t="shared" si="21"/>
        <v>1.6659346986230615E-3</v>
      </c>
    </row>
    <row r="64" spans="1:10">
      <c r="A64" s="6">
        <v>512</v>
      </c>
      <c r="B64" s="6">
        <v>6</v>
      </c>
      <c r="C64" s="6"/>
      <c r="D64" s="6">
        <v>2881.98</v>
      </c>
      <c r="E64" s="6">
        <v>2764.19</v>
      </c>
      <c r="F64" s="7">
        <f t="shared" si="25"/>
        <v>2764.19</v>
      </c>
      <c r="G64" s="7">
        <f t="shared" si="26"/>
        <v>2881.98</v>
      </c>
      <c r="H64" s="7">
        <f t="shared" si="27"/>
        <v>2823.085</v>
      </c>
      <c r="I64" s="7">
        <f t="shared" si="20"/>
        <v>83.290107755960648</v>
      </c>
      <c r="J64" s="8">
        <f t="shared" si="21"/>
        <v>2.9503223514687177E-2</v>
      </c>
    </row>
    <row r="65" spans="1:10">
      <c r="A65">
        <v>1024</v>
      </c>
      <c r="B65">
        <v>1</v>
      </c>
      <c r="C65" s="15">
        <v>3839.03</v>
      </c>
      <c r="D65" s="6">
        <v>3850.77</v>
      </c>
      <c r="E65">
        <v>3811.34</v>
      </c>
      <c r="F65" s="10">
        <f t="shared" si="22"/>
        <v>3811.34</v>
      </c>
      <c r="G65" s="10">
        <f t="shared" si="23"/>
        <v>3850.77</v>
      </c>
      <c r="H65" s="10">
        <f t="shared" si="24"/>
        <v>3833.7133333333331</v>
      </c>
      <c r="I65" s="10">
        <f t="shared" ref="I65:I70" si="28">STDEV(C65:E65)</f>
        <v>20.245528724583284</v>
      </c>
      <c r="J65" s="11">
        <f t="shared" ref="J65:J70" si="29">I65/H65</f>
        <v>5.2809187762039118E-3</v>
      </c>
    </row>
    <row r="66" spans="1:10">
      <c r="A66">
        <v>1024</v>
      </c>
      <c r="B66">
        <v>2</v>
      </c>
      <c r="C66" s="6">
        <v>5517.04</v>
      </c>
      <c r="D66" s="6">
        <v>5558.63</v>
      </c>
      <c r="E66">
        <v>5509.99</v>
      </c>
      <c r="F66" s="10">
        <f t="shared" si="22"/>
        <v>5509.99</v>
      </c>
      <c r="G66" s="10">
        <f t="shared" si="23"/>
        <v>5558.63</v>
      </c>
      <c r="H66" s="10">
        <f t="shared" si="24"/>
        <v>5528.5533333333333</v>
      </c>
      <c r="I66" s="10">
        <f t="shared" si="28"/>
        <v>26.284596883661347</v>
      </c>
      <c r="J66" s="11">
        <f t="shared" si="29"/>
        <v>4.7543354108901328E-3</v>
      </c>
    </row>
    <row r="67" spans="1:10">
      <c r="A67">
        <v>1024</v>
      </c>
      <c r="B67">
        <v>3</v>
      </c>
      <c r="C67" s="6">
        <v>5842.8</v>
      </c>
      <c r="D67" s="6">
        <v>5824.55</v>
      </c>
      <c r="F67" s="10">
        <f t="shared" ref="F67:F69" si="30">MIN(C67:E67)</f>
        <v>5824.55</v>
      </c>
      <c r="G67" s="10">
        <f t="shared" ref="G67:G69" si="31">MAX(C67:E67)</f>
        <v>5842.8</v>
      </c>
      <c r="H67" s="10">
        <f t="shared" ref="H67:H69" si="32">AVERAGE(C67:E67)</f>
        <v>5833.6750000000002</v>
      </c>
      <c r="I67" s="10">
        <f t="shared" si="28"/>
        <v>12.904698756654492</v>
      </c>
      <c r="J67" s="11">
        <f t="shared" si="29"/>
        <v>2.2121045064482496E-3</v>
      </c>
    </row>
    <row r="68" spans="1:10">
      <c r="A68">
        <v>1024</v>
      </c>
      <c r="B68">
        <v>4</v>
      </c>
      <c r="C68" s="15"/>
      <c r="D68" s="15"/>
      <c r="E68">
        <v>5248.96</v>
      </c>
      <c r="F68" s="10">
        <f t="shared" si="30"/>
        <v>5248.96</v>
      </c>
      <c r="G68" s="10">
        <f t="shared" si="31"/>
        <v>5248.96</v>
      </c>
      <c r="H68" s="10">
        <f t="shared" si="32"/>
        <v>5248.96</v>
      </c>
      <c r="I68" s="10" t="e">
        <f t="shared" si="28"/>
        <v>#DIV/0!</v>
      </c>
      <c r="J68" s="11" t="e">
        <f t="shared" si="29"/>
        <v>#DIV/0!</v>
      </c>
    </row>
    <row r="69" spans="1:10">
      <c r="A69">
        <v>1024</v>
      </c>
      <c r="B69">
        <v>5</v>
      </c>
      <c r="C69" s="15"/>
      <c r="F69" s="10">
        <f t="shared" si="30"/>
        <v>0</v>
      </c>
      <c r="G69" s="10">
        <f t="shared" si="31"/>
        <v>0</v>
      </c>
      <c r="H69" s="10" t="e">
        <f t="shared" si="32"/>
        <v>#DIV/0!</v>
      </c>
      <c r="I69" s="10" t="e">
        <f t="shared" si="28"/>
        <v>#DIV/0!</v>
      </c>
      <c r="J69" s="11" t="e">
        <f t="shared" si="29"/>
        <v>#DIV/0!</v>
      </c>
    </row>
    <row r="70" spans="1:10">
      <c r="A70">
        <v>1024</v>
      </c>
      <c r="B70">
        <v>6</v>
      </c>
      <c r="C70" s="15"/>
      <c r="F70" s="10">
        <f t="shared" ref="F70" si="33">MIN(C70:E70)</f>
        <v>0</v>
      </c>
      <c r="G70" s="10">
        <f t="shared" ref="G70" si="34">MAX(C70:E70)</f>
        <v>0</v>
      </c>
      <c r="H70" s="10" t="e">
        <f t="shared" ref="H70" si="35">AVERAGE(C70:E70)</f>
        <v>#DIV/0!</v>
      </c>
      <c r="I70" s="10" t="e">
        <f t="shared" si="28"/>
        <v>#DIV/0!</v>
      </c>
      <c r="J70" s="11" t="e">
        <f t="shared" si="29"/>
        <v>#DIV/0!</v>
      </c>
    </row>
  </sheetData>
  <mergeCells count="2">
    <mergeCell ref="A1:J1"/>
    <mergeCell ref="A2:J2"/>
  </mergeCells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&amp;C&amp;"Bitstream Vera Serif,Regular"&amp;12&amp;A</oddHeader>
    <oddFooter>&amp;C&amp;"Bitstream Vera Serif,Regular"&amp;12Page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0.28515625" defaultRowHeight="12.75"/>
  <sheetData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&amp;C&amp;"Bitstream Vera Serif,Regular"&amp;12&amp;A</oddHeader>
    <oddFooter>&amp;C&amp;"Bitstream Vera Serif,Regular"&amp;12Page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0.28515625" defaultRowHeight="12.75"/>
  <sheetData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&amp;C&amp;"Bitstream Vera Serif,Regular"&amp;12&amp;A</oddHeader>
    <oddFooter>&amp;C&amp;"Bitstream Vera Serif,Regular"&amp;12Page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Sheet1!timings.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chapma_admin</cp:lastModifiedBy>
  <dcterms:created xsi:type="dcterms:W3CDTF">2009-01-14T00:20:18Z</dcterms:created>
  <dcterms:modified xsi:type="dcterms:W3CDTF">2009-03-02T21:28:12Z</dcterms:modified>
</cp:coreProperties>
</file>